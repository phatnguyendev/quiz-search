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05993676-B5F0-4480-9978-021457E4B3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4" i="1"/>
  <c r="G4" i="1" s="1"/>
  <c r="C5" i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<sst xmlns="http://schemas.openxmlformats.org/spreadsheetml/2006/main" count="29" uniqueCount="27">
  <si>
    <t xml:space="preserve">BẢNG THEO DÕI CHI TIẾT BÁN HÀNG </t>
  </si>
  <si>
    <t>TT</t>
  </si>
  <si>
    <t>MAHH</t>
  </si>
  <si>
    <t xml:space="preserve">Tên Hàng </t>
  </si>
  <si>
    <t>Loại Hàng</t>
  </si>
  <si>
    <t xml:space="preserve">Đơn Giá </t>
  </si>
  <si>
    <t>Thành Tiền</t>
  </si>
  <si>
    <t>Số Lượng</t>
  </si>
  <si>
    <t xml:space="preserve">MAHH </t>
  </si>
  <si>
    <t>Tên Hàng</t>
  </si>
  <si>
    <t>EL</t>
  </si>
  <si>
    <t>PE</t>
  </si>
  <si>
    <t>SG</t>
  </si>
  <si>
    <t>VT</t>
  </si>
  <si>
    <t>Petrolimex</t>
  </si>
  <si>
    <t>Sài Gòn Petro</t>
  </si>
  <si>
    <t xml:space="preserve">VT Gas </t>
  </si>
  <si>
    <t>Elf Gas</t>
  </si>
  <si>
    <t>PEA</t>
  </si>
  <si>
    <t>VTB</t>
  </si>
  <si>
    <t>SGA</t>
  </si>
  <si>
    <t>VTA</t>
  </si>
  <si>
    <t>ELB</t>
  </si>
  <si>
    <t>PEB</t>
  </si>
  <si>
    <t>SGB</t>
  </si>
  <si>
    <t>ELA</t>
  </si>
  <si>
    <t>Bảng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</si>
</sst>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[$Đồng]"/>
    <numFmt numFmtId="165" formatCode="#,##0\ [$Đồng]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3" xfId="0" applyFont="1" applyBorder="1"/>
    <xf numFmtId="0" fontId="3" fillId="0" borderId="4" xfId="0" applyFont="1" applyBorder="1"/>
    <xf numFmtId="0" fontId="0" fillId="0" borderId="0" xfId="0" applyAlignment="1">
      <alignment wrapText="1"/>
    </xf>
    <xf numFmtId="0" fontId="3" fillId="0" borderId="0" xfId="0" applyFont="1"/>
    <xf numFmtId="0" fontId="3" fillId="0" borderId="1" xfId="0" applyFont="1" applyBorder="1"/>
    <xf numFmtId="164" fontId="0" fillId="0" borderId="0" xfId="0" applyNumberForma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2" borderId="3" xfId="0" applyFont="1" applyFill="1" applyBorder="1"/>
    <xf numFmtId="0" fontId="3" fillId="2" borderId="4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3" fillId="2" borderId="3" xfId="0" applyNumberFormat="1" applyFont="1" applyFill="1" applyBorder="1"/>
    <xf numFmtId="165" fontId="3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L18" sqref="L18"/>
    </sheetView>
  </sheetViews>
  <sheetFormatPr defaultRowHeight="14.4" x14ac:dyDescent="0.3"/>
  <cols>
    <col min="1" max="1" width="6.33203125" customWidth="1"/>
    <col min="2" max="2" width="10.109375" customWidth="1"/>
    <col min="3" max="3" width="13.109375" customWidth="1"/>
    <col min="4" max="5" width="12.5546875" customWidth="1"/>
    <col min="6" max="6" width="11.5546875" customWidth="1"/>
    <col min="7" max="7" width="14.88671875" customWidth="1"/>
    <col min="10" max="10" width="13.33203125" customWidth="1"/>
  </cols>
  <sheetData>
    <row r="1" spans="1:10" s="3" customFormat="1" x14ac:dyDescent="0.3">
      <c r="A1" s="9" t="s">
        <v>0</v>
      </c>
      <c r="B1" s="10"/>
      <c r="C1" s="10"/>
      <c r="D1" s="10"/>
      <c r="E1" s="10"/>
      <c r="F1" s="10"/>
      <c r="G1" s="10"/>
    </row>
    <row r="2" spans="1:10" s="3" customFormat="1" ht="15" thickBot="1" x14ac:dyDescent="0.35">
      <c r="A2" s="7"/>
      <c r="B2" s="8"/>
      <c r="C2" s="8"/>
      <c r="D2" s="8"/>
      <c r="E2" s="8"/>
      <c r="F2" s="8"/>
      <c r="G2" s="8"/>
    </row>
    <row r="3" spans="1:10" x14ac:dyDescent="0.3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7</v>
      </c>
      <c r="G3" s="13" t="s">
        <v>6</v>
      </c>
    </row>
    <row r="4" spans="1:10" x14ac:dyDescent="0.3">
      <c r="A4" s="1">
        <v>1</v>
      </c>
      <c r="B4" s="1" t="s">
        <v>18</v>
      </c>
      <c r="C4" s="11" t="str">
        <f>VLOOKUP(LEFT(B4,2),$I$6:$J$9,2,0)</f>
        <v>Petrolimex</v>
      </c>
      <c r="D4" s="1">
        <v>1</v>
      </c>
      <c r="E4" s="11">
        <f>IF(RIGHT(B4,1)="B",62000,45000)</f>
        <v>45000</v>
      </c>
      <c r="F4" s="1">
        <v>90</v>
      </c>
      <c r="G4" s="15">
        <f>F4*E4</f>
        <v>4050000</v>
      </c>
      <c r="I4" s="4" t="s">
        <v>26</v>
      </c>
      <c r="J4" s="4"/>
    </row>
    <row r="5" spans="1:10" ht="15" customHeight="1" x14ac:dyDescent="0.3">
      <c r="A5" s="1">
        <v>2</v>
      </c>
      <c r="B5" s="1" t="s">
        <v>19</v>
      </c>
      <c r="C5" s="11" t="str">
        <f t="shared" ref="C5:C13" si="0">VLOOKUP(LEFT(B5,2),$I$6:$J$9,2,0)</f>
        <v xml:space="preserve">VT Gas </v>
      </c>
      <c r="D5" s="1">
        <v>2</v>
      </c>
      <c r="E5" s="11">
        <f t="shared" ref="E5:E13" si="1">IF(RIGHT(B5,1)="B",62000,45000)</f>
        <v>62000</v>
      </c>
      <c r="F5" s="1">
        <v>120</v>
      </c>
      <c r="G5" s="15">
        <f t="shared" ref="G5:G13" si="2">F5*E5</f>
        <v>7440000</v>
      </c>
      <c r="I5" s="14" t="s">
        <v>8</v>
      </c>
      <c r="J5" s="14" t="s">
        <v>9</v>
      </c>
    </row>
    <row r="6" spans="1:10" x14ac:dyDescent="0.3">
      <c r="A6" s="1">
        <v>3</v>
      </c>
      <c r="B6" s="1" t="s">
        <v>20</v>
      </c>
      <c r="C6" s="11" t="str">
        <f t="shared" si="0"/>
        <v>Sài Gòn Petro</v>
      </c>
      <c r="D6" s="1">
        <v>1</v>
      </c>
      <c r="E6" s="11">
        <f t="shared" si="1"/>
        <v>45000</v>
      </c>
      <c r="F6" s="1">
        <v>70</v>
      </c>
      <c r="G6" s="15">
        <f t="shared" si="2"/>
        <v>3150000</v>
      </c>
      <c r="I6" s="5" t="s">
        <v>10</v>
      </c>
      <c r="J6" s="5" t="s">
        <v>17</v>
      </c>
    </row>
    <row r="7" spans="1:10" x14ac:dyDescent="0.3">
      <c r="A7" s="1">
        <v>4</v>
      </c>
      <c r="B7" s="1" t="s">
        <v>21</v>
      </c>
      <c r="C7" s="11" t="str">
        <f t="shared" si="0"/>
        <v xml:space="preserve">VT Gas </v>
      </c>
      <c r="D7" s="1">
        <v>1</v>
      </c>
      <c r="E7" s="11">
        <f t="shared" si="1"/>
        <v>45000</v>
      </c>
      <c r="F7" s="1">
        <v>160</v>
      </c>
      <c r="G7" s="15">
        <f t="shared" si="2"/>
        <v>7200000</v>
      </c>
      <c r="I7" s="5" t="s">
        <v>11</v>
      </c>
      <c r="J7" s="5" t="s">
        <v>14</v>
      </c>
    </row>
    <row r="8" spans="1:10" x14ac:dyDescent="0.3">
      <c r="A8" s="1">
        <v>5</v>
      </c>
      <c r="B8" s="1" t="s">
        <v>22</v>
      </c>
      <c r="C8" s="11" t="str">
        <f t="shared" si="0"/>
        <v>Elf Gas</v>
      </c>
      <c r="D8" s="1">
        <v>2</v>
      </c>
      <c r="E8" s="11">
        <f t="shared" si="1"/>
        <v>62000</v>
      </c>
      <c r="F8" s="1">
        <v>60</v>
      </c>
      <c r="G8" s="15">
        <f t="shared" si="2"/>
        <v>3720000</v>
      </c>
      <c r="I8" s="5" t="s">
        <v>12</v>
      </c>
      <c r="J8" s="5" t="s">
        <v>15</v>
      </c>
    </row>
    <row r="9" spans="1:10" x14ac:dyDescent="0.3">
      <c r="A9" s="1">
        <v>6</v>
      </c>
      <c r="B9" s="1" t="s">
        <v>23</v>
      </c>
      <c r="C9" s="11" t="str">
        <f t="shared" si="0"/>
        <v>Petrolimex</v>
      </c>
      <c r="D9" s="1">
        <v>2</v>
      </c>
      <c r="E9" s="11">
        <f t="shared" si="1"/>
        <v>62000</v>
      </c>
      <c r="F9" s="1">
        <v>75</v>
      </c>
      <c r="G9" s="15">
        <f t="shared" si="2"/>
        <v>4650000</v>
      </c>
      <c r="I9" s="5" t="s">
        <v>13</v>
      </c>
      <c r="J9" s="5" t="s">
        <v>16</v>
      </c>
    </row>
    <row r="10" spans="1:10" x14ac:dyDescent="0.3">
      <c r="A10" s="1">
        <v>7</v>
      </c>
      <c r="B10" s="1" t="s">
        <v>24</v>
      </c>
      <c r="C10" s="11" t="str">
        <f t="shared" si="0"/>
        <v>Sài Gòn Petro</v>
      </c>
      <c r="D10" s="1">
        <v>2</v>
      </c>
      <c r="E10" s="11">
        <f t="shared" si="1"/>
        <v>62000</v>
      </c>
      <c r="F10" s="1">
        <v>65</v>
      </c>
      <c r="G10" s="15">
        <f t="shared" si="2"/>
        <v>4030000</v>
      </c>
    </row>
    <row r="11" spans="1:10" x14ac:dyDescent="0.3">
      <c r="A11" s="1">
        <v>8</v>
      </c>
      <c r="B11" s="1" t="s">
        <v>21</v>
      </c>
      <c r="C11" s="11" t="str">
        <f t="shared" si="0"/>
        <v xml:space="preserve">VT Gas </v>
      </c>
      <c r="D11" s="1">
        <v>1</v>
      </c>
      <c r="E11" s="11">
        <f t="shared" si="1"/>
        <v>45000</v>
      </c>
      <c r="F11" s="1">
        <v>98</v>
      </c>
      <c r="G11" s="15">
        <f t="shared" si="2"/>
        <v>4410000</v>
      </c>
    </row>
    <row r="12" spans="1:10" x14ac:dyDescent="0.3">
      <c r="A12" s="1">
        <v>9</v>
      </c>
      <c r="B12" s="1" t="s">
        <v>25</v>
      </c>
      <c r="C12" s="11" t="str">
        <f t="shared" si="0"/>
        <v>Elf Gas</v>
      </c>
      <c r="D12" s="1">
        <v>1</v>
      </c>
      <c r="E12" s="11">
        <f t="shared" si="1"/>
        <v>45000</v>
      </c>
      <c r="F12" s="1">
        <v>130</v>
      </c>
      <c r="G12" s="15">
        <f t="shared" si="2"/>
        <v>5850000</v>
      </c>
    </row>
    <row r="13" spans="1:10" ht="15" thickBot="1" x14ac:dyDescent="0.35">
      <c r="A13" s="2">
        <v>10</v>
      </c>
      <c r="B13" s="2" t="s">
        <v>23</v>
      </c>
      <c r="C13" s="12" t="str">
        <f t="shared" si="0"/>
        <v>Petrolimex</v>
      </c>
      <c r="D13" s="2">
        <v>2</v>
      </c>
      <c r="E13" s="12">
        <f t="shared" si="1"/>
        <v>62000</v>
      </c>
      <c r="F13" s="2">
        <v>180</v>
      </c>
      <c r="G13" s="16">
        <f t="shared" si="2"/>
        <v>11160000</v>
      </c>
    </row>
    <row r="22" spans="7:7" x14ac:dyDescent="0.3">
      <c r="G22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2026-01-11T01:22:40Z</dcterms:modified>
</cp:coreProperties>
</file>