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 folder (3)\quiz-search\dapan\nangcao\"/>
    </mc:Choice>
  </mc:AlternateContent>
  <bookViews>
    <workbookView xWindow="0" yWindow="0" windowWidth="28800" windowHeight="12330"/>
  </bookViews>
  <sheets>
    <sheet name="De 2" sheetId="1" r:id="rId1"/>
    <sheet name="Cau_8" sheetId="2" r:id="rId2"/>
    <sheet name="Cau_9" sheetId="3" r:id="rId3"/>
  </sheets>
  <definedNames>
    <definedName name="_xlnm._FilterDatabase" localSheetId="0" hidden="1">'De 2'!$A$4:$M$14</definedName>
    <definedName name="_xlnm.Criteria" localSheetId="1">Cau_8!$A$1:$B$2</definedName>
    <definedName name="_xlnm.Criteria" localSheetId="2">Cau_9!$A$1:$B$2</definedName>
    <definedName name="_xlnm.Extract" localSheetId="1">Cau_8!$E$1:$Q$1</definedName>
    <definedName name="_xlnm.Extract" localSheetId="2">Cau_9!$D$1:$P$1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1" l="1"/>
  <c r="P16" i="1"/>
  <c r="I10" i="1"/>
  <c r="I11" i="1"/>
  <c r="I6" i="1"/>
  <c r="I8" i="1"/>
  <c r="I7" i="1"/>
  <c r="I5" i="1"/>
  <c r="I9" i="1"/>
  <c r="I13" i="1"/>
  <c r="I12" i="1"/>
  <c r="I14" i="1"/>
  <c r="H10" i="1"/>
  <c r="M10" i="1" s="1"/>
  <c r="H11" i="1"/>
  <c r="M11" i="1" s="1"/>
  <c r="H6" i="1"/>
  <c r="M6" i="1" s="1"/>
  <c r="H8" i="1"/>
  <c r="M8" i="1" s="1"/>
  <c r="H7" i="1"/>
  <c r="M7" i="1" s="1"/>
  <c r="H5" i="1"/>
  <c r="M5" i="1" s="1"/>
  <c r="H9" i="1"/>
  <c r="M9" i="1" s="1"/>
  <c r="H13" i="1"/>
  <c r="M13" i="1" s="1"/>
  <c r="H12" i="1"/>
  <c r="M12" i="1" s="1"/>
  <c r="H14" i="1"/>
  <c r="M14" i="1" s="1"/>
</calcChain>
</file>

<file path=xl/sharedStrings.xml><?xml version="1.0" encoding="utf-8"?>
<sst xmlns="http://schemas.openxmlformats.org/spreadsheetml/2006/main" count="149" uniqueCount="47">
  <si>
    <t>Tên</t>
  </si>
  <si>
    <t>Phái</t>
  </si>
  <si>
    <t>Năm sinh</t>
  </si>
  <si>
    <t>Nam</t>
  </si>
  <si>
    <t>Hải</t>
  </si>
  <si>
    <t>Nữ</t>
  </si>
  <si>
    <t>Châu</t>
  </si>
  <si>
    <t>Bích</t>
  </si>
  <si>
    <t>Trang</t>
  </si>
  <si>
    <t>A</t>
  </si>
  <si>
    <t>B</t>
  </si>
  <si>
    <t>C</t>
  </si>
  <si>
    <t>D</t>
  </si>
  <si>
    <t>Toán</t>
  </si>
  <si>
    <t>Lý</t>
  </si>
  <si>
    <t>TT</t>
  </si>
  <si>
    <t>Điểm tổng</t>
  </si>
  <si>
    <t>Olympic Tin học</t>
  </si>
  <si>
    <t>Olympic KHXH &amp; NV</t>
  </si>
  <si>
    <t>Olympic Toán</t>
  </si>
  <si>
    <t>OKH</t>
  </si>
  <si>
    <t>OTO</t>
  </si>
  <si>
    <t>OTN</t>
  </si>
  <si>
    <t>Tên hội thi</t>
  </si>
  <si>
    <t>Mã HV</t>
  </si>
  <si>
    <t>Mã HT</t>
  </si>
  <si>
    <t>MÃ HV</t>
  </si>
  <si>
    <t>Điểm khen thưởng</t>
  </si>
  <si>
    <t>Tên
hội thi</t>
  </si>
  <si>
    <t>GK</t>
  </si>
  <si>
    <t>BK</t>
  </si>
  <si>
    <t>KHEN THƯỞNG</t>
  </si>
  <si>
    <t>HỘI THI</t>
  </si>
  <si>
    <t>Tuấn</t>
  </si>
  <si>
    <t>Lan</t>
  </si>
  <si>
    <t>Thành</t>
  </si>
  <si>
    <t>Hùng</t>
  </si>
  <si>
    <t>Thế</t>
  </si>
  <si>
    <t>Triết học</t>
  </si>
  <si>
    <t>TD</t>
  </si>
  <si>
    <t>BẢNG ĐIỂM HỘI THI NĂM HỌC 2024 - 2025</t>
  </si>
  <si>
    <t>MÃ HT</t>
  </si>
  <si>
    <t>Câu 5</t>
  </si>
  <si>
    <t>Câu 6</t>
  </si>
  <si>
    <t>&gt;=7</t>
  </si>
  <si>
    <t>&gt;=19</t>
  </si>
  <si>
    <t>&gt;=2005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</si>
</sst>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/>
    <xf numFmtId="0" fontId="2" fillId="0" borderId="0" xfId="0" applyFont="1"/>
    <xf numFmtId="0" fontId="2" fillId="0" borderId="0" xfId="0" applyFont="1" applyAlignment="1">
      <alignment horizontal="centerContinuous"/>
    </xf>
    <xf numFmtId="14" fontId="3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43" fontId="3" fillId="0" borderId="17" xfId="1" applyFont="1" applyBorder="1"/>
    <xf numFmtId="43" fontId="3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160020</xdr:colOff>
      <xdr:row>3</xdr:row>
      <xdr:rowOff>15240</xdr:rowOff>
    </xdr:from>
    <xdr:to>
      <xdr:col>22</xdr:col>
      <xdr:colOff>525780</xdr:colOff>
      <xdr:row>13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D3ED7D-0EA0-4D06-9852-C16D83084D1E}"/>
            </a:ext>
          </a:extLst>
        </xdr:cNvPr>
        <xdr:cNvSpPr txBox="1"/>
      </xdr:nvSpPr>
      <xdr:spPr>
        <a:xfrm>
          <a:off x="10104120" y="701040"/>
          <a:ext cx="6294120" cy="2682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50" b="1">
              <a:latin typeface="Times New Roman" panose="02020603050405020304" pitchFamily="18" charset="0"/>
              <a:cs typeface="Times New Roman" panose="02020603050405020304" pitchFamily="18" charset="0"/>
            </a:rPr>
            <a:t>Yêu</a:t>
          </a:r>
          <a:r>
            <a:rPr lang="en-US" sz="13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cầu: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1. Dựa vào bảng Khen thưởng, hãy tính Điểm khen thưởng cho từng Học viên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2. Dựa vào bảng Hội thi điền Tên hội thi trong bảng chính.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3. Điểm tổng = Triết học + Toán + Lý + Điểm khen thưởng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4. Sắp xếp tăng dần theo Tên, nếu trùng tên thì sắp xếp tăng dần theo năm sinh, nếu trùng năm sinh thì sắp xếp tăng dần theo Điểm tổng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. Tính số Học viên ở Tham gia Hội thi Olympic tin học có điểm tổng &gt;=17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6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. Tính tổng điểm Khen thưởng của học sinh có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phái là Nữ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và có năm sinh &gt;=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2005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7. 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Tính tổng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điểm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của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Mã HV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viên A và B có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năm sinh &gt;=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2004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8. Trích lọc sang sheet khác </a:t>
          </a:r>
          <a:r>
            <a:rPr lang="en-US" sz="13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Học viên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có điểm Toán &gt;=7 và có Điểm tổng &gt;=19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9. </a:t>
          </a:r>
          <a:r>
            <a:rPr lang="en-US" sz="13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Trích lọc sang sheet khác Học viên là nữ có Năm sinh &gt;=2005</a:t>
          </a:r>
        </a:p>
        <a:p>
          <a:endParaRPr lang="en-US" sz="1350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35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tabSelected="1" zoomScale="70" zoomScaleNormal="70" workbookViewId="0">
      <selection activeCell="M9" sqref="M9"/>
    </sheetView>
  </sheetViews>
  <sheetFormatPr defaultColWidth="8.7265625" defaultRowHeight="18" x14ac:dyDescent="0.4"/>
  <cols>
    <col min="1" max="1" width="4.26953125" style="1" bestFit="1" customWidth="1"/>
    <col min="2" max="3" width="9.7265625" style="1" bestFit="1" customWidth="1"/>
    <col min="4" max="4" width="12.453125" style="1" bestFit="1" customWidth="1"/>
    <col min="5" max="5" width="7.7265625" style="1" bestFit="1" customWidth="1"/>
    <col min="6" max="6" width="7.7265625" style="1" customWidth="1"/>
    <col min="7" max="7" width="8.7265625" style="1"/>
    <col min="8" max="8" width="9.54296875" style="24" customWidth="1"/>
    <col min="9" max="9" width="26.1796875" style="1" customWidth="1"/>
    <col min="10" max="10" width="24.7265625" style="24" customWidth="1"/>
    <col min="11" max="11" width="7.453125" style="1" customWidth="1"/>
    <col min="12" max="12" width="8.7265625" style="1"/>
    <col min="13" max="13" width="16.54296875" style="1" customWidth="1"/>
    <col min="14" max="16" width="8.7265625" style="1"/>
    <col min="17" max="18" width="12.1796875" style="1" bestFit="1" customWidth="1"/>
    <col min="19" max="16384" width="8.7265625" style="1"/>
  </cols>
  <sheetData>
    <row r="2" spans="1:18" x14ac:dyDescent="0.4">
      <c r="A2" s="12" t="s">
        <v>40</v>
      </c>
      <c r="B2" s="12"/>
      <c r="C2" s="12"/>
      <c r="D2" s="12"/>
      <c r="E2" s="12"/>
      <c r="F2" s="12"/>
      <c r="G2" s="12"/>
      <c r="H2" s="23"/>
      <c r="I2" s="12"/>
      <c r="J2" s="23"/>
      <c r="K2" s="12"/>
      <c r="L2" s="12"/>
      <c r="M2" s="12"/>
      <c r="N2" s="11"/>
      <c r="O2" s="11"/>
      <c r="P2" s="11"/>
    </row>
    <row r="3" spans="1:18" x14ac:dyDescent="0.4">
      <c r="A3" s="12"/>
      <c r="B3" s="12"/>
      <c r="C3" s="12"/>
      <c r="D3" s="12"/>
      <c r="E3" s="12"/>
      <c r="F3" s="12"/>
      <c r="G3" s="12"/>
      <c r="H3" s="23"/>
      <c r="I3" s="12"/>
      <c r="J3" s="23"/>
      <c r="K3" s="12"/>
      <c r="L3" s="12"/>
      <c r="M3" s="12"/>
      <c r="N3" s="11"/>
      <c r="O3" s="11"/>
      <c r="P3" s="11"/>
    </row>
    <row r="4" spans="1:18" ht="71.25" customHeight="1" x14ac:dyDescent="0.4">
      <c r="A4" s="18" t="s">
        <v>15</v>
      </c>
      <c r="B4" s="18" t="s">
        <v>26</v>
      </c>
      <c r="C4" s="18" t="s">
        <v>41</v>
      </c>
      <c r="D4" s="18" t="s">
        <v>31</v>
      </c>
      <c r="E4" s="18" t="s">
        <v>0</v>
      </c>
      <c r="F4" s="18" t="s">
        <v>1</v>
      </c>
      <c r="G4" s="18" t="s">
        <v>2</v>
      </c>
      <c r="H4" s="18" t="s">
        <v>27</v>
      </c>
      <c r="I4" s="18" t="s">
        <v>28</v>
      </c>
      <c r="J4" s="18" t="s">
        <v>38</v>
      </c>
      <c r="K4" s="18" t="s">
        <v>13</v>
      </c>
      <c r="L4" s="18" t="s">
        <v>14</v>
      </c>
      <c r="M4" s="18" t="s">
        <v>16</v>
      </c>
      <c r="N4" s="9"/>
      <c r="O4" s="8"/>
      <c r="P4" s="8"/>
    </row>
    <row r="5" spans="1:18" x14ac:dyDescent="0.4">
      <c r="A5" s="19">
        <v>1</v>
      </c>
      <c r="B5" s="20" t="s">
        <v>12</v>
      </c>
      <c r="C5" s="20" t="s">
        <v>21</v>
      </c>
      <c r="D5" s="20" t="s">
        <v>30</v>
      </c>
      <c r="E5" s="20" t="s">
        <v>7</v>
      </c>
      <c r="F5" s="20" t="s">
        <v>5</v>
      </c>
      <c r="G5" s="19">
        <v>2005</v>
      </c>
      <c r="H5" s="19">
        <f t="shared" ref="H5:H14" si="0">INDEX($C$20:$E$23,MATCH(B5,$B$20:$B$23,0),MATCH(D5,$C$19:$E$19,0))</f>
        <v>0.5</v>
      </c>
      <c r="I5" s="20" t="str">
        <f t="shared" ref="I5:I14" si="1">INDEX($J$20:$J$22,MATCH(C5,$I$20:$I$22,0))</f>
        <v>Olympic Toán</v>
      </c>
      <c r="J5" s="19">
        <v>6.5</v>
      </c>
      <c r="K5" s="20">
        <v>5</v>
      </c>
      <c r="L5" s="20">
        <v>7</v>
      </c>
      <c r="M5" s="21">
        <f t="shared" ref="M5:M14" si="2">SUM(J5:L5,H5)</f>
        <v>19</v>
      </c>
      <c r="N5" s="10"/>
    </row>
    <row r="6" spans="1:18" x14ac:dyDescent="0.4">
      <c r="A6" s="19">
        <v>2</v>
      </c>
      <c r="B6" s="20" t="s">
        <v>10</v>
      </c>
      <c r="C6" s="20" t="s">
        <v>21</v>
      </c>
      <c r="D6" s="20" t="s">
        <v>29</v>
      </c>
      <c r="E6" s="20" t="s">
        <v>6</v>
      </c>
      <c r="F6" s="20" t="s">
        <v>5</v>
      </c>
      <c r="G6" s="19">
        <v>2005</v>
      </c>
      <c r="H6" s="19">
        <f t="shared" si="0"/>
        <v>0.2</v>
      </c>
      <c r="I6" s="20" t="str">
        <f t="shared" si="1"/>
        <v>Olympic Toán</v>
      </c>
      <c r="J6" s="19">
        <v>7</v>
      </c>
      <c r="K6" s="20">
        <v>6.5</v>
      </c>
      <c r="L6" s="20">
        <v>6</v>
      </c>
      <c r="M6" s="21">
        <f t="shared" si="2"/>
        <v>19.7</v>
      </c>
      <c r="N6" s="10"/>
    </row>
    <row r="7" spans="1:18" x14ac:dyDescent="0.4">
      <c r="A7" s="19">
        <v>3</v>
      </c>
      <c r="B7" s="20" t="s">
        <v>11</v>
      </c>
      <c r="C7" s="20" t="s">
        <v>22</v>
      </c>
      <c r="D7" s="20" t="s">
        <v>29</v>
      </c>
      <c r="E7" s="20" t="s">
        <v>4</v>
      </c>
      <c r="F7" s="20" t="s">
        <v>3</v>
      </c>
      <c r="G7" s="19">
        <v>2006</v>
      </c>
      <c r="H7" s="19">
        <f t="shared" si="0"/>
        <v>0.3</v>
      </c>
      <c r="I7" s="20" t="str">
        <f t="shared" si="1"/>
        <v>Olympic Tin học</v>
      </c>
      <c r="J7" s="19">
        <v>4</v>
      </c>
      <c r="K7" s="20">
        <v>6</v>
      </c>
      <c r="L7" s="20">
        <v>5.5</v>
      </c>
      <c r="M7" s="21">
        <f t="shared" si="2"/>
        <v>15.8</v>
      </c>
      <c r="N7" s="10"/>
    </row>
    <row r="8" spans="1:18" x14ac:dyDescent="0.4">
      <c r="A8" s="19">
        <v>4</v>
      </c>
      <c r="B8" s="20" t="s">
        <v>10</v>
      </c>
      <c r="C8" s="20" t="s">
        <v>21</v>
      </c>
      <c r="D8" s="20" t="s">
        <v>39</v>
      </c>
      <c r="E8" s="20" t="s">
        <v>36</v>
      </c>
      <c r="F8" s="20" t="s">
        <v>3</v>
      </c>
      <c r="G8" s="19">
        <v>2003</v>
      </c>
      <c r="H8" s="19">
        <f t="shared" si="0"/>
        <v>0.4</v>
      </c>
      <c r="I8" s="20" t="str">
        <f t="shared" si="1"/>
        <v>Olympic Toán</v>
      </c>
      <c r="J8" s="19">
        <v>8</v>
      </c>
      <c r="K8" s="20">
        <v>6.5</v>
      </c>
      <c r="L8" s="20">
        <v>8</v>
      </c>
      <c r="M8" s="21">
        <f t="shared" si="2"/>
        <v>22.9</v>
      </c>
      <c r="N8" s="10"/>
    </row>
    <row r="9" spans="1:18" x14ac:dyDescent="0.4">
      <c r="A9" s="19">
        <v>5</v>
      </c>
      <c r="B9" s="20" t="s">
        <v>9</v>
      </c>
      <c r="C9" s="20" t="s">
        <v>20</v>
      </c>
      <c r="D9" s="20" t="s">
        <v>30</v>
      </c>
      <c r="E9" s="20" t="s">
        <v>36</v>
      </c>
      <c r="F9" s="20" t="s">
        <v>3</v>
      </c>
      <c r="G9" s="19">
        <v>2003</v>
      </c>
      <c r="H9" s="19">
        <f t="shared" si="0"/>
        <v>0.2</v>
      </c>
      <c r="I9" s="20" t="str">
        <f t="shared" si="1"/>
        <v>Olympic KHXH &amp; NV</v>
      </c>
      <c r="J9" s="19">
        <v>8</v>
      </c>
      <c r="K9" s="20">
        <v>9</v>
      </c>
      <c r="L9" s="20">
        <v>7</v>
      </c>
      <c r="M9" s="21">
        <f t="shared" si="2"/>
        <v>24.2</v>
      </c>
      <c r="N9" s="10"/>
    </row>
    <row r="10" spans="1:18" x14ac:dyDescent="0.4">
      <c r="A10" s="19">
        <v>6</v>
      </c>
      <c r="B10" s="20" t="s">
        <v>10</v>
      </c>
      <c r="C10" s="20" t="s">
        <v>22</v>
      </c>
      <c r="D10" s="20" t="s">
        <v>30</v>
      </c>
      <c r="E10" s="20" t="s">
        <v>34</v>
      </c>
      <c r="F10" s="20" t="s">
        <v>5</v>
      </c>
      <c r="G10" s="19">
        <v>2006</v>
      </c>
      <c r="H10" s="19">
        <f t="shared" si="0"/>
        <v>0.3</v>
      </c>
      <c r="I10" s="20" t="str">
        <f t="shared" si="1"/>
        <v>Olympic Tin học</v>
      </c>
      <c r="J10" s="19">
        <v>8</v>
      </c>
      <c r="K10" s="20">
        <v>6.5</v>
      </c>
      <c r="L10" s="20">
        <v>6</v>
      </c>
      <c r="M10" s="21">
        <f t="shared" si="2"/>
        <v>20.8</v>
      </c>
      <c r="N10" s="10"/>
    </row>
    <row r="11" spans="1:18" x14ac:dyDescent="0.4">
      <c r="A11" s="19">
        <v>7</v>
      </c>
      <c r="B11" s="20" t="s">
        <v>11</v>
      </c>
      <c r="C11" s="20" t="s">
        <v>20</v>
      </c>
      <c r="D11" s="20" t="s">
        <v>39</v>
      </c>
      <c r="E11" s="20" t="s">
        <v>35</v>
      </c>
      <c r="F11" s="20" t="s">
        <v>3</v>
      </c>
      <c r="G11" s="19">
        <v>2004</v>
      </c>
      <c r="H11" s="19">
        <f t="shared" si="0"/>
        <v>0.5</v>
      </c>
      <c r="I11" s="20" t="str">
        <f t="shared" si="1"/>
        <v>Olympic KHXH &amp; NV</v>
      </c>
      <c r="J11" s="19">
        <v>9</v>
      </c>
      <c r="K11" s="20">
        <v>8</v>
      </c>
      <c r="L11" s="20">
        <v>8.5</v>
      </c>
      <c r="M11" s="21">
        <f t="shared" si="2"/>
        <v>26</v>
      </c>
      <c r="N11" s="10"/>
    </row>
    <row r="12" spans="1:18" x14ac:dyDescent="0.4">
      <c r="A12" s="19">
        <v>8</v>
      </c>
      <c r="B12" s="20" t="s">
        <v>12</v>
      </c>
      <c r="C12" s="20" t="s">
        <v>20</v>
      </c>
      <c r="D12" s="20" t="s">
        <v>29</v>
      </c>
      <c r="E12" s="20" t="s">
        <v>37</v>
      </c>
      <c r="F12" s="20" t="s">
        <v>3</v>
      </c>
      <c r="G12" s="19">
        <v>2006</v>
      </c>
      <c r="H12" s="19">
        <f t="shared" si="0"/>
        <v>0.4</v>
      </c>
      <c r="I12" s="20" t="str">
        <f t="shared" si="1"/>
        <v>Olympic KHXH &amp; NV</v>
      </c>
      <c r="J12" s="19">
        <v>3</v>
      </c>
      <c r="K12" s="20">
        <v>3.5</v>
      </c>
      <c r="L12" s="20">
        <v>2</v>
      </c>
      <c r="M12" s="21">
        <f t="shared" si="2"/>
        <v>8.9</v>
      </c>
      <c r="N12" s="10"/>
    </row>
    <row r="13" spans="1:18" x14ac:dyDescent="0.4">
      <c r="A13" s="19">
        <v>9</v>
      </c>
      <c r="B13" s="20" t="s">
        <v>11</v>
      </c>
      <c r="C13" s="20" t="s">
        <v>20</v>
      </c>
      <c r="D13" s="20" t="s">
        <v>39</v>
      </c>
      <c r="E13" s="20" t="s">
        <v>8</v>
      </c>
      <c r="F13" s="20" t="s">
        <v>5</v>
      </c>
      <c r="G13" s="19">
        <v>2004</v>
      </c>
      <c r="H13" s="19">
        <f t="shared" si="0"/>
        <v>0.5</v>
      </c>
      <c r="I13" s="20" t="str">
        <f t="shared" si="1"/>
        <v>Olympic KHXH &amp; NV</v>
      </c>
      <c r="J13" s="19">
        <v>6</v>
      </c>
      <c r="K13" s="20">
        <v>5</v>
      </c>
      <c r="L13" s="20">
        <v>6.5</v>
      </c>
      <c r="M13" s="21">
        <f t="shared" si="2"/>
        <v>18</v>
      </c>
      <c r="N13" s="10"/>
    </row>
    <row r="14" spans="1:18" x14ac:dyDescent="0.4">
      <c r="A14" s="19">
        <v>10</v>
      </c>
      <c r="B14" s="20" t="s">
        <v>9</v>
      </c>
      <c r="C14" s="20" t="s">
        <v>22</v>
      </c>
      <c r="D14" s="20" t="s">
        <v>29</v>
      </c>
      <c r="E14" s="20" t="s">
        <v>33</v>
      </c>
      <c r="F14" s="20" t="s">
        <v>3</v>
      </c>
      <c r="G14" s="19">
        <v>2005</v>
      </c>
      <c r="H14" s="19">
        <f t="shared" si="0"/>
        <v>0.1</v>
      </c>
      <c r="I14" s="20" t="str">
        <f t="shared" si="1"/>
        <v>Olympic Tin học</v>
      </c>
      <c r="J14" s="19">
        <v>5.5</v>
      </c>
      <c r="K14" s="20">
        <v>6.5</v>
      </c>
      <c r="L14" s="20">
        <v>5</v>
      </c>
      <c r="M14" s="21">
        <f t="shared" si="2"/>
        <v>17.100000000000001</v>
      </c>
      <c r="N14" s="10"/>
    </row>
    <row r="16" spans="1:18" ht="18" customHeight="1" x14ac:dyDescent="0.4">
      <c r="H16" s="5"/>
      <c r="I16" s="5"/>
      <c r="O16" s="1" t="s">
        <v>42</v>
      </c>
      <c r="P16" s="1">
        <f>COUNTIFS(C5:C14,I20,M5:M14,"&gt;=17")</f>
        <v>2</v>
      </c>
      <c r="R16" s="13"/>
    </row>
    <row r="17" spans="2:17" ht="18.399999999999999" customHeight="1" x14ac:dyDescent="0.4">
      <c r="B17" s="28" t="s">
        <v>31</v>
      </c>
      <c r="C17" s="28"/>
      <c r="D17" s="28"/>
      <c r="E17" s="28"/>
      <c r="I17" s="28" t="s">
        <v>32</v>
      </c>
      <c r="J17" s="28"/>
      <c r="K17" s="14"/>
      <c r="L17" s="14"/>
      <c r="M17"/>
      <c r="N17"/>
      <c r="O17" s="1" t="s">
        <v>43</v>
      </c>
      <c r="P17" s="1">
        <f>SUMIFS(H5:H14,F5:F14,"Nữ",G5:G14,"&gt;=2005")</f>
        <v>1</v>
      </c>
      <c r="Q17"/>
    </row>
    <row r="18" spans="2:17" ht="18.5" thickBot="1" x14ac:dyDescent="0.45">
      <c r="B18" s="29" t="s">
        <v>24</v>
      </c>
      <c r="C18" s="31" t="s">
        <v>31</v>
      </c>
      <c r="D18" s="31"/>
      <c r="E18" s="31"/>
      <c r="I18" s="29" t="s">
        <v>25</v>
      </c>
      <c r="J18" s="33" t="s">
        <v>23</v>
      </c>
      <c r="K18" s="17"/>
      <c r="L18" s="14"/>
      <c r="M18"/>
      <c r="N18"/>
      <c r="P18" s="22"/>
      <c r="Q18"/>
    </row>
    <row r="19" spans="2:17" ht="18.5" thickBot="1" x14ac:dyDescent="0.45">
      <c r="B19" s="30"/>
      <c r="C19" s="6" t="s">
        <v>29</v>
      </c>
      <c r="D19" s="6" t="s">
        <v>30</v>
      </c>
      <c r="E19" s="6" t="s">
        <v>39</v>
      </c>
      <c r="I19" s="32"/>
      <c r="J19" s="34"/>
      <c r="K19" s="15"/>
      <c r="L19" s="16"/>
      <c r="M19"/>
      <c r="N19"/>
      <c r="O19"/>
      <c r="P19"/>
      <c r="Q19"/>
    </row>
    <row r="20" spans="2:17" x14ac:dyDescent="0.4">
      <c r="B20" s="7" t="s">
        <v>9</v>
      </c>
      <c r="C20" s="7">
        <v>0.1</v>
      </c>
      <c r="D20" s="7">
        <v>0.2</v>
      </c>
      <c r="E20" s="7">
        <v>0.3</v>
      </c>
      <c r="I20" s="2" t="s">
        <v>22</v>
      </c>
      <c r="J20" s="25" t="s">
        <v>17</v>
      </c>
      <c r="K20" s="10"/>
      <c r="M20"/>
      <c r="N20"/>
      <c r="O20"/>
      <c r="P20"/>
      <c r="Q20"/>
    </row>
    <row r="21" spans="2:17" x14ac:dyDescent="0.4">
      <c r="B21" s="3" t="s">
        <v>10</v>
      </c>
      <c r="C21" s="3">
        <v>0.2</v>
      </c>
      <c r="D21" s="3">
        <v>0.3</v>
      </c>
      <c r="E21" s="3">
        <v>0.4</v>
      </c>
      <c r="I21" s="3" t="s">
        <v>20</v>
      </c>
      <c r="J21" s="26" t="s">
        <v>18</v>
      </c>
      <c r="K21" s="10"/>
      <c r="M21"/>
      <c r="N21"/>
      <c r="O21"/>
      <c r="P21"/>
      <c r="Q21"/>
    </row>
    <row r="22" spans="2:17" x14ac:dyDescent="0.4">
      <c r="B22" s="3" t="s">
        <v>11</v>
      </c>
      <c r="C22" s="3">
        <v>0.3</v>
      </c>
      <c r="D22" s="3">
        <v>0.4</v>
      </c>
      <c r="E22" s="3">
        <v>0.5</v>
      </c>
      <c r="I22" s="4" t="s">
        <v>21</v>
      </c>
      <c r="J22" s="27" t="s">
        <v>19</v>
      </c>
      <c r="K22" s="10"/>
      <c r="M22"/>
      <c r="N22"/>
      <c r="O22"/>
      <c r="P22"/>
      <c r="Q22"/>
    </row>
    <row r="23" spans="2:17" x14ac:dyDescent="0.4">
      <c r="B23" s="4" t="s">
        <v>12</v>
      </c>
      <c r="C23" s="4">
        <v>0.4</v>
      </c>
      <c r="D23" s="4">
        <v>0.5</v>
      </c>
      <c r="E23" s="4">
        <v>0.6</v>
      </c>
      <c r="M23"/>
      <c r="N23"/>
      <c r="O23"/>
      <c r="P23"/>
      <c r="Q23"/>
    </row>
  </sheetData>
  <sortState ref="B5:M14">
    <sortCondition ref="E5:E14"/>
    <sortCondition ref="G5:G14"/>
    <sortCondition ref="M5:M14"/>
  </sortState>
  <mergeCells count="6">
    <mergeCell ref="B17:E17"/>
    <mergeCell ref="B18:B19"/>
    <mergeCell ref="C18:E18"/>
    <mergeCell ref="I18:I19"/>
    <mergeCell ref="J18:J19"/>
    <mergeCell ref="I17:J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I12" sqref="I12"/>
    </sheetView>
  </sheetViews>
  <sheetFormatPr defaultRowHeight="14.5" x14ac:dyDescent="0.35"/>
  <cols>
    <col min="8" max="8" width="15.26953125" customWidth="1"/>
    <col min="13" max="13" width="24.7265625" bestFit="1" customWidth="1"/>
  </cols>
  <sheetData>
    <row r="1" spans="1:17" ht="70" x14ac:dyDescent="0.35">
      <c r="A1" s="18" t="s">
        <v>13</v>
      </c>
      <c r="B1" s="18" t="s">
        <v>16</v>
      </c>
      <c r="E1" s="18" t="s">
        <v>15</v>
      </c>
      <c r="F1" s="18" t="s">
        <v>26</v>
      </c>
      <c r="G1" s="18" t="s">
        <v>41</v>
      </c>
      <c r="H1" s="18" t="s">
        <v>31</v>
      </c>
      <c r="I1" s="18" t="s">
        <v>0</v>
      </c>
      <c r="J1" s="18" t="s">
        <v>1</v>
      </c>
      <c r="K1" s="18" t="s">
        <v>2</v>
      </c>
      <c r="L1" s="18" t="s">
        <v>27</v>
      </c>
      <c r="M1" s="18" t="s">
        <v>28</v>
      </c>
      <c r="N1" s="18" t="s">
        <v>38</v>
      </c>
      <c r="O1" s="18" t="s">
        <v>13</v>
      </c>
      <c r="P1" s="18" t="s">
        <v>14</v>
      </c>
      <c r="Q1" s="18" t="s">
        <v>16</v>
      </c>
    </row>
    <row r="2" spans="1:17" ht="18" x14ac:dyDescent="0.4">
      <c r="A2" t="s">
        <v>44</v>
      </c>
      <c r="B2" t="s">
        <v>45</v>
      </c>
      <c r="E2" s="19">
        <v>5</v>
      </c>
      <c r="F2" s="20" t="s">
        <v>9</v>
      </c>
      <c r="G2" s="20" t="s">
        <v>20</v>
      </c>
      <c r="H2" s="20" t="s">
        <v>30</v>
      </c>
      <c r="I2" s="20" t="s">
        <v>36</v>
      </c>
      <c r="J2" s="20" t="s">
        <v>3</v>
      </c>
      <c r="K2" s="19">
        <v>2003</v>
      </c>
      <c r="L2" s="20">
        <v>0.2</v>
      </c>
      <c r="M2" s="20" t="s">
        <v>18</v>
      </c>
      <c r="N2" s="20">
        <v>8</v>
      </c>
      <c r="O2" s="20">
        <v>9</v>
      </c>
      <c r="P2" s="20">
        <v>7</v>
      </c>
      <c r="Q2" s="21">
        <v>24.2</v>
      </c>
    </row>
    <row r="3" spans="1:17" ht="18" x14ac:dyDescent="0.4">
      <c r="E3" s="19">
        <v>7</v>
      </c>
      <c r="F3" s="20" t="s">
        <v>11</v>
      </c>
      <c r="G3" s="20" t="s">
        <v>20</v>
      </c>
      <c r="H3" s="20" t="s">
        <v>39</v>
      </c>
      <c r="I3" s="20" t="s">
        <v>35</v>
      </c>
      <c r="J3" s="20" t="s">
        <v>3</v>
      </c>
      <c r="K3" s="19">
        <v>2004</v>
      </c>
      <c r="L3" s="20">
        <v>0.5</v>
      </c>
      <c r="M3" s="20" t="s">
        <v>18</v>
      </c>
      <c r="N3" s="20">
        <v>9</v>
      </c>
      <c r="O3" s="20">
        <v>8</v>
      </c>
      <c r="P3" s="20">
        <v>8.5</v>
      </c>
      <c r="Q3" s="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J9" sqref="J9"/>
    </sheetView>
  </sheetViews>
  <sheetFormatPr defaultRowHeight="14.5" x14ac:dyDescent="0.35"/>
  <cols>
    <col min="7" max="7" width="13.7265625" customWidth="1"/>
    <col min="12" max="12" width="18.7265625" bestFit="1" customWidth="1"/>
  </cols>
  <sheetData>
    <row r="1" spans="1:16" ht="70" x14ac:dyDescent="0.35">
      <c r="A1" s="18" t="s">
        <v>1</v>
      </c>
      <c r="B1" s="18" t="s">
        <v>2</v>
      </c>
      <c r="D1" s="18" t="s">
        <v>15</v>
      </c>
      <c r="E1" s="18" t="s">
        <v>26</v>
      </c>
      <c r="F1" s="18" t="s">
        <v>41</v>
      </c>
      <c r="G1" s="18" t="s">
        <v>31</v>
      </c>
      <c r="H1" s="18" t="s">
        <v>0</v>
      </c>
      <c r="I1" s="18" t="s">
        <v>1</v>
      </c>
      <c r="J1" s="18" t="s">
        <v>2</v>
      </c>
      <c r="K1" s="18" t="s">
        <v>27</v>
      </c>
      <c r="L1" s="18" t="s">
        <v>28</v>
      </c>
      <c r="M1" s="18" t="s">
        <v>38</v>
      </c>
      <c r="N1" s="18" t="s">
        <v>13</v>
      </c>
      <c r="O1" s="18" t="s">
        <v>14</v>
      </c>
      <c r="P1" s="18" t="s">
        <v>16</v>
      </c>
    </row>
    <row r="2" spans="1:16" ht="18" x14ac:dyDescent="0.4">
      <c r="A2" t="s">
        <v>5</v>
      </c>
      <c r="B2" t="s">
        <v>46</v>
      </c>
      <c r="D2" s="19">
        <v>1</v>
      </c>
      <c r="E2" s="20" t="s">
        <v>12</v>
      </c>
      <c r="F2" s="20" t="s">
        <v>21</v>
      </c>
      <c r="G2" s="20" t="s">
        <v>30</v>
      </c>
      <c r="H2" s="20" t="s">
        <v>7</v>
      </c>
      <c r="I2" s="20" t="s">
        <v>5</v>
      </c>
      <c r="J2" s="19">
        <v>2005</v>
      </c>
      <c r="K2" s="20">
        <v>0.5</v>
      </c>
      <c r="L2" s="20" t="s">
        <v>19</v>
      </c>
      <c r="M2" s="20">
        <v>6.5</v>
      </c>
      <c r="N2" s="20">
        <v>5</v>
      </c>
      <c r="O2" s="20">
        <v>7</v>
      </c>
      <c r="P2" s="21">
        <v>19</v>
      </c>
    </row>
    <row r="3" spans="1:16" ht="18" x14ac:dyDescent="0.4">
      <c r="D3" s="19">
        <v>2</v>
      </c>
      <c r="E3" s="20" t="s">
        <v>10</v>
      </c>
      <c r="F3" s="20" t="s">
        <v>21</v>
      </c>
      <c r="G3" s="20" t="s">
        <v>29</v>
      </c>
      <c r="H3" s="20" t="s">
        <v>6</v>
      </c>
      <c r="I3" s="20" t="s">
        <v>5</v>
      </c>
      <c r="J3" s="19">
        <v>2005</v>
      </c>
      <c r="K3" s="20">
        <v>0.2</v>
      </c>
      <c r="L3" s="20" t="s">
        <v>19</v>
      </c>
      <c r="M3" s="20">
        <v>7</v>
      </c>
      <c r="N3" s="20">
        <v>6.5</v>
      </c>
      <c r="O3" s="20">
        <v>6</v>
      </c>
      <c r="P3" s="21">
        <v>19.7</v>
      </c>
    </row>
    <row r="4" spans="1:16" ht="18" x14ac:dyDescent="0.4">
      <c r="D4" s="19">
        <v>6</v>
      </c>
      <c r="E4" s="20" t="s">
        <v>10</v>
      </c>
      <c r="F4" s="20" t="s">
        <v>22</v>
      </c>
      <c r="G4" s="20" t="s">
        <v>30</v>
      </c>
      <c r="H4" s="20" t="s">
        <v>34</v>
      </c>
      <c r="I4" s="20" t="s">
        <v>5</v>
      </c>
      <c r="J4" s="19">
        <v>2006</v>
      </c>
      <c r="K4" s="20">
        <v>0.3</v>
      </c>
      <c r="L4" s="20" t="s">
        <v>17</v>
      </c>
      <c r="M4" s="20">
        <v>8</v>
      </c>
      <c r="N4" s="20">
        <v>6.5</v>
      </c>
      <c r="O4" s="20">
        <v>6</v>
      </c>
      <c r="P4" s="21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De 2</vt:lpstr>
      <vt:lpstr>Cau_8</vt:lpstr>
      <vt:lpstr>Cau_9</vt:lpstr>
      <vt:lpstr>Cau_8!Criteria</vt:lpstr>
      <vt:lpstr>Cau_9!Criteria</vt:lpstr>
      <vt:lpstr>Cau_8!Extract</vt:lpstr>
      <vt:lpstr>Cau_9!Extract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Khắc Huy</dc:creator>
  <cp:lastModifiedBy>PC</cp:lastModifiedBy>
  <cp:lastPrinted>2026-01-11T01:25:28Z</cp:lastPrinted>
  <dcterms:created xsi:type="dcterms:W3CDTF">2015-06-05T18:17:20Z</dcterms:created>
  <dcterms:modified xsi:type="dcterms:W3CDTF">2026-04-04T22:46:04Z</dcterms:modified>
</cp:coreProperties>
</file>