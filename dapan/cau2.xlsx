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cb2604285\"/>
    </mc:Choice>
  </mc:AlternateContent>
  <bookViews>
    <workbookView xWindow="0" yWindow="0" windowWidth="17970" windowHeight="5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G12" i="1" s="1"/>
  <c r="D12" i="1"/>
  <c r="F11" i="1"/>
  <c r="G11" i="1" s="1"/>
  <c r="D11" i="1"/>
  <c r="F10" i="1"/>
  <c r="G10" i="1" s="1"/>
  <c r="D10" i="1"/>
  <c r="F9" i="1"/>
  <c r="G9" i="1" s="1"/>
  <c r="D9" i="1"/>
  <c r="F8" i="1"/>
  <c r="G8" i="1" s="1"/>
  <c r="D8" i="1"/>
  <c r="F7" i="1"/>
  <c r="G7" i="1" s="1"/>
  <c r="D7" i="1"/>
  <c r="F6" i="1"/>
  <c r="G6" i="1" s="1"/>
  <c r="D6" i="1"/>
  <c r="F5" i="1"/>
  <c r="G5" i="1" s="1"/>
  <c r="D5" i="1"/>
</calcChain>
</file>

<file path=xl/sharedStrings.xml><?xml version="1.0" encoding="utf-8"?>
<sst xmlns="http://schemas.openxmlformats.org/spreadsheetml/2006/main" count="36" uniqueCount="35">
  <si>
    <t xml:space="preserve">Lương cơ bản </t>
  </si>
  <si>
    <t>TT</t>
  </si>
  <si>
    <t>MÃ GV</t>
  </si>
  <si>
    <t>HỌ VÀ TÊN</t>
  </si>
  <si>
    <t>CHỨC VỤ</t>
  </si>
  <si>
    <t>HỆ SỐ 
LƯƠNG</t>
  </si>
  <si>
    <t>PHỤ CẤP</t>
  </si>
  <si>
    <t xml:space="preserve">TIỀN LƯƠNG </t>
  </si>
  <si>
    <t>HT01</t>
  </si>
  <si>
    <t xml:space="preserve">Lê Văn Bình </t>
  </si>
  <si>
    <t>CN01</t>
  </si>
  <si>
    <t xml:space="preserve">Trần Thị Cơ </t>
  </si>
  <si>
    <t>GV01</t>
  </si>
  <si>
    <t>Lý Thị Loan</t>
  </si>
  <si>
    <t>PH01</t>
  </si>
  <si>
    <t xml:space="preserve">Trần Hoàng Thái </t>
  </si>
  <si>
    <t>CN02</t>
  </si>
  <si>
    <t xml:space="preserve">Lê Thành   Lương </t>
  </si>
  <si>
    <t>GV02</t>
  </si>
  <si>
    <t>Nguyễn Văn Nam</t>
  </si>
  <si>
    <t>GV03</t>
  </si>
  <si>
    <t xml:space="preserve">Trần Hoàng Long </t>
  </si>
  <si>
    <t>CN03</t>
  </si>
  <si>
    <t xml:space="preserve">Lê Hải Tuấn </t>
  </si>
  <si>
    <t>BẢNG CHỨC VỤ</t>
  </si>
  <si>
    <t xml:space="preserve">CHỨC VỤ </t>
  </si>
  <si>
    <t>HT</t>
  </si>
  <si>
    <t xml:space="preserve">Hiệu trưởng </t>
  </si>
  <si>
    <t>PH</t>
  </si>
  <si>
    <t xml:space="preserve">Phó hiêu trưởng </t>
  </si>
  <si>
    <t>CN</t>
  </si>
  <si>
    <t>Chủ nhiệm bộ môn</t>
  </si>
  <si>
    <t>GV</t>
  </si>
  <si>
    <t xml:space="preserve">Giáo viên </t>
  </si>
  <si>
    <t>BẢNG LƯƠNG THÁNG 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</si>
</sst>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\ [$VND]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8"/>
      <name val="Times New Roman"/>
      <family val="1"/>
    </font>
    <font>
      <b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B0F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tted">
        <color theme="1"/>
      </bottom>
      <diagonal/>
    </border>
    <border>
      <left style="thin">
        <color theme="1"/>
      </left>
      <right style="thin">
        <color theme="1"/>
      </right>
      <top style="dotted">
        <color theme="1"/>
      </top>
      <bottom style="dotted">
        <color theme="1"/>
      </bottom>
      <diagonal/>
    </border>
    <border>
      <left style="thin">
        <color theme="1"/>
      </left>
      <right style="thin">
        <color theme="1"/>
      </right>
      <top style="dotted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1" xfId="0" applyFont="1" applyFill="1" applyBorder="1"/>
    <xf numFmtId="0" fontId="3" fillId="0" borderId="0" xfId="0" applyFont="1" applyFill="1"/>
    <xf numFmtId="0" fontId="3" fillId="0" borderId="0" xfId="0" applyFont="1" applyFill="1" applyBorder="1"/>
    <xf numFmtId="0" fontId="4" fillId="0" borderId="0" xfId="0" applyFont="1" applyFill="1"/>
    <xf numFmtId="0" fontId="5" fillId="0" borderId="0" xfId="0" applyFont="1" applyFill="1" applyBorder="1"/>
    <xf numFmtId="0" fontId="5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8" fillId="0" borderId="0" xfId="0" applyFont="1" applyFill="1" applyBorder="1"/>
    <xf numFmtId="3" fontId="8" fillId="0" borderId="0" xfId="0" applyNumberFormat="1" applyFont="1" applyFill="1" applyBorder="1"/>
    <xf numFmtId="0" fontId="6" fillId="0" borderId="0" xfId="0" applyFont="1" applyFill="1"/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/>
    <xf numFmtId="3" fontId="4" fillId="0" borderId="3" xfId="0" applyNumberFormat="1" applyFont="1" applyFill="1" applyBorder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/>
    <xf numFmtId="3" fontId="4" fillId="0" borderId="4" xfId="0" applyNumberFormat="1" applyFont="1" applyFill="1" applyBorder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/>
    <xf numFmtId="3" fontId="4" fillId="0" borderId="5" xfId="0" applyNumberFormat="1" applyFont="1" applyFill="1" applyBorder="1"/>
    <xf numFmtId="0" fontId="2" fillId="2" borderId="2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164" fontId="4" fillId="0" borderId="3" xfId="1" applyNumberFormat="1" applyFont="1" applyFill="1" applyBorder="1"/>
    <xf numFmtId="164" fontId="4" fillId="0" borderId="4" xfId="1" applyNumberFormat="1" applyFont="1" applyFill="1" applyBorder="1"/>
    <xf numFmtId="164" fontId="4" fillId="0" borderId="5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J6" sqref="J6"/>
    </sheetView>
  </sheetViews>
  <sheetFormatPr defaultColWidth="9.1796875" defaultRowHeight="14.5" x14ac:dyDescent="0.35"/>
  <cols>
    <col min="1" max="1" width="5.7265625" style="2" customWidth="1"/>
    <col min="2" max="2" width="11.453125" style="2" customWidth="1"/>
    <col min="3" max="3" width="22.26953125" style="2" customWidth="1"/>
    <col min="4" max="4" width="24.1796875" style="2" customWidth="1"/>
    <col min="5" max="5" width="17.1796875" style="2" customWidth="1"/>
    <col min="6" max="6" width="16.453125" style="2" customWidth="1"/>
    <col min="7" max="7" width="26.26953125" style="2" customWidth="1"/>
    <col min="8" max="16384" width="9.1796875" style="2"/>
  </cols>
  <sheetData>
    <row r="1" spans="1:8" x14ac:dyDescent="0.35">
      <c r="A1" s="7" t="s">
        <v>34</v>
      </c>
      <c r="B1" s="7"/>
      <c r="C1" s="7"/>
      <c r="D1" s="7"/>
      <c r="E1" s="7"/>
      <c r="F1" s="7"/>
      <c r="G1" s="7"/>
      <c r="H1" s="1"/>
    </row>
    <row r="2" spans="1:8" ht="18.75" customHeight="1" x14ac:dyDescent="0.35">
      <c r="A2" s="7"/>
      <c r="B2" s="7"/>
      <c r="C2" s="7"/>
      <c r="D2" s="7"/>
      <c r="E2" s="7"/>
      <c r="F2" s="7"/>
      <c r="G2" s="7"/>
    </row>
    <row r="3" spans="1:8" s="11" customFormat="1" ht="18.75" customHeight="1" x14ac:dyDescent="0.35">
      <c r="A3" s="8"/>
      <c r="B3" s="8"/>
      <c r="C3" s="8"/>
      <c r="D3" s="9" t="s">
        <v>0</v>
      </c>
      <c r="E3" s="10">
        <v>2340000</v>
      </c>
      <c r="F3" s="8"/>
      <c r="G3" s="8"/>
    </row>
    <row r="4" spans="1:8" s="4" customFormat="1" ht="35" x14ac:dyDescent="0.4">
      <c r="A4" s="14" t="s">
        <v>1</v>
      </c>
      <c r="B4" s="14" t="s">
        <v>2</v>
      </c>
      <c r="C4" s="14" t="s">
        <v>3</v>
      </c>
      <c r="D4" s="14" t="s">
        <v>4</v>
      </c>
      <c r="E4" s="15" t="s">
        <v>5</v>
      </c>
      <c r="F4" s="14" t="s">
        <v>6</v>
      </c>
      <c r="G4" s="14" t="s">
        <v>7</v>
      </c>
    </row>
    <row r="5" spans="1:8" s="4" customFormat="1" ht="18" x14ac:dyDescent="0.4">
      <c r="A5" s="16">
        <v>1</v>
      </c>
      <c r="B5" s="17" t="s">
        <v>8</v>
      </c>
      <c r="C5" s="17" t="s">
        <v>9</v>
      </c>
      <c r="D5" s="17" t="str">
        <f>VLOOKUP(LEFT(B5,2),$B$16:$C$20,2,0)</f>
        <v xml:space="preserve">Hiệu trưởng </v>
      </c>
      <c r="E5" s="17">
        <v>8</v>
      </c>
      <c r="F5" s="18">
        <f>IF(LEFT(B5,2)="HT",1000000,IF(LEFT(B5,2)="PH",800000,IF(LEFT(B5,2)="CN",500000,300000)))</f>
        <v>1000000</v>
      </c>
      <c r="G5" s="29">
        <f>(2340000*E5+F5)</f>
        <v>19720000</v>
      </c>
    </row>
    <row r="6" spans="1:8" s="4" customFormat="1" ht="18" x14ac:dyDescent="0.4">
      <c r="A6" s="19">
        <v>2</v>
      </c>
      <c r="B6" s="20" t="s">
        <v>10</v>
      </c>
      <c r="C6" s="20" t="s">
        <v>11</v>
      </c>
      <c r="D6" s="20" t="str">
        <f t="shared" ref="D6:D12" si="0">VLOOKUP(LEFT(B6,2),$B$16:$C$20,2,0)</f>
        <v>Chủ nhiệm bộ môn</v>
      </c>
      <c r="E6" s="20">
        <v>6.2</v>
      </c>
      <c r="F6" s="21">
        <f t="shared" ref="F6:F12" si="1">IF(LEFT(B6,2)="HT",1000000,IF(LEFT(B6,2)="PH",800000,IF(LEFT(B6,2)="CN",500000,300000)))</f>
        <v>500000</v>
      </c>
      <c r="G6" s="30">
        <f t="shared" ref="G6:G12" si="2">(2340000*E6+F6)</f>
        <v>15008000</v>
      </c>
    </row>
    <row r="7" spans="1:8" s="4" customFormat="1" ht="18" x14ac:dyDescent="0.4">
      <c r="A7" s="19">
        <v>3</v>
      </c>
      <c r="B7" s="20" t="s">
        <v>12</v>
      </c>
      <c r="C7" s="20" t="s">
        <v>13</v>
      </c>
      <c r="D7" s="20" t="str">
        <f t="shared" si="0"/>
        <v xml:space="preserve">Giáo viên </v>
      </c>
      <c r="E7" s="20">
        <v>5.8</v>
      </c>
      <c r="F7" s="21">
        <f t="shared" si="1"/>
        <v>300000</v>
      </c>
      <c r="G7" s="30">
        <f t="shared" si="2"/>
        <v>13872000</v>
      </c>
    </row>
    <row r="8" spans="1:8" s="4" customFormat="1" ht="18" x14ac:dyDescent="0.4">
      <c r="A8" s="19">
        <v>4</v>
      </c>
      <c r="B8" s="20" t="s">
        <v>14</v>
      </c>
      <c r="C8" s="20" t="s">
        <v>15</v>
      </c>
      <c r="D8" s="20" t="str">
        <f t="shared" si="0"/>
        <v xml:space="preserve">Phó hiêu trưởng </v>
      </c>
      <c r="E8" s="20">
        <v>7.6</v>
      </c>
      <c r="F8" s="21">
        <f t="shared" si="1"/>
        <v>800000</v>
      </c>
      <c r="G8" s="30">
        <f t="shared" si="2"/>
        <v>18584000</v>
      </c>
    </row>
    <row r="9" spans="1:8" s="4" customFormat="1" ht="18" x14ac:dyDescent="0.4">
      <c r="A9" s="19">
        <v>5</v>
      </c>
      <c r="B9" s="20" t="s">
        <v>16</v>
      </c>
      <c r="C9" s="20" t="s">
        <v>17</v>
      </c>
      <c r="D9" s="20" t="str">
        <f t="shared" si="0"/>
        <v>Chủ nhiệm bộ môn</v>
      </c>
      <c r="E9" s="20">
        <v>7</v>
      </c>
      <c r="F9" s="21">
        <f t="shared" si="1"/>
        <v>500000</v>
      </c>
      <c r="G9" s="30">
        <f t="shared" si="2"/>
        <v>16880000</v>
      </c>
    </row>
    <row r="10" spans="1:8" s="4" customFormat="1" ht="18" x14ac:dyDescent="0.4">
      <c r="A10" s="19">
        <v>6</v>
      </c>
      <c r="B10" s="20" t="s">
        <v>18</v>
      </c>
      <c r="C10" s="20" t="s">
        <v>19</v>
      </c>
      <c r="D10" s="20" t="str">
        <f t="shared" si="0"/>
        <v xml:space="preserve">Giáo viên </v>
      </c>
      <c r="E10" s="20">
        <v>6</v>
      </c>
      <c r="F10" s="21">
        <f t="shared" si="1"/>
        <v>300000</v>
      </c>
      <c r="G10" s="30">
        <f t="shared" si="2"/>
        <v>14340000</v>
      </c>
    </row>
    <row r="11" spans="1:8" s="4" customFormat="1" ht="18" x14ac:dyDescent="0.4">
      <c r="A11" s="19">
        <v>7</v>
      </c>
      <c r="B11" s="20" t="s">
        <v>20</v>
      </c>
      <c r="C11" s="20" t="s">
        <v>21</v>
      </c>
      <c r="D11" s="20" t="str">
        <f t="shared" si="0"/>
        <v xml:space="preserve">Giáo viên </v>
      </c>
      <c r="E11" s="20">
        <v>6</v>
      </c>
      <c r="F11" s="21">
        <f t="shared" si="1"/>
        <v>300000</v>
      </c>
      <c r="G11" s="30">
        <f t="shared" si="2"/>
        <v>14340000</v>
      </c>
    </row>
    <row r="12" spans="1:8" s="4" customFormat="1" ht="18" x14ac:dyDescent="0.4">
      <c r="A12" s="22">
        <v>8</v>
      </c>
      <c r="B12" s="23" t="s">
        <v>22</v>
      </c>
      <c r="C12" s="23" t="s">
        <v>23</v>
      </c>
      <c r="D12" s="23" t="str">
        <f t="shared" si="0"/>
        <v>Chủ nhiệm bộ môn</v>
      </c>
      <c r="E12" s="23">
        <v>6.4</v>
      </c>
      <c r="F12" s="24">
        <f t="shared" si="1"/>
        <v>500000</v>
      </c>
      <c r="G12" s="31">
        <f t="shared" si="2"/>
        <v>15476000</v>
      </c>
    </row>
    <row r="13" spans="1:8" x14ac:dyDescent="0.35">
      <c r="A13" s="3"/>
      <c r="B13" s="3"/>
      <c r="C13" s="3"/>
      <c r="D13" s="3"/>
      <c r="E13" s="3"/>
      <c r="F13" s="3"/>
      <c r="G13" s="3"/>
    </row>
    <row r="14" spans="1:8" x14ac:dyDescent="0.35">
      <c r="A14" s="3"/>
      <c r="B14" s="3"/>
      <c r="C14" s="3"/>
      <c r="D14" s="3"/>
      <c r="E14" s="3"/>
      <c r="F14" s="3"/>
      <c r="G14" s="3"/>
    </row>
    <row r="15" spans="1:8" s="6" customFormat="1" ht="18.5" x14ac:dyDescent="0.45">
      <c r="A15" s="12" t="s">
        <v>24</v>
      </c>
      <c r="B15" s="12"/>
      <c r="C15" s="12"/>
      <c r="D15" s="5"/>
      <c r="E15" s="5"/>
      <c r="F15" s="5"/>
      <c r="G15" s="5"/>
    </row>
    <row r="16" spans="1:8" s="6" customFormat="1" ht="18.5" x14ac:dyDescent="0.45">
      <c r="A16" s="13"/>
      <c r="B16" s="25" t="s">
        <v>2</v>
      </c>
      <c r="C16" s="25" t="s">
        <v>25</v>
      </c>
      <c r="D16" s="5"/>
      <c r="E16" s="5"/>
      <c r="F16" s="5"/>
      <c r="G16" s="5"/>
    </row>
    <row r="17" spans="1:7" s="6" customFormat="1" ht="18.5" x14ac:dyDescent="0.45">
      <c r="A17" s="13"/>
      <c r="B17" s="26" t="s">
        <v>26</v>
      </c>
      <c r="C17" s="26" t="s">
        <v>27</v>
      </c>
      <c r="D17" s="5"/>
      <c r="E17" s="5"/>
      <c r="F17" s="5"/>
      <c r="G17" s="5"/>
    </row>
    <row r="18" spans="1:7" s="6" customFormat="1" ht="18.5" x14ac:dyDescent="0.45">
      <c r="A18" s="13"/>
      <c r="B18" s="27" t="s">
        <v>28</v>
      </c>
      <c r="C18" s="27" t="s">
        <v>29</v>
      </c>
      <c r="D18" s="5"/>
      <c r="E18" s="5"/>
      <c r="F18" s="5"/>
      <c r="G18" s="5"/>
    </row>
    <row r="19" spans="1:7" s="6" customFormat="1" ht="18.5" x14ac:dyDescent="0.45">
      <c r="A19" s="13"/>
      <c r="B19" s="27" t="s">
        <v>30</v>
      </c>
      <c r="C19" s="27" t="s">
        <v>31</v>
      </c>
      <c r="D19" s="5"/>
      <c r="E19" s="5"/>
      <c r="F19" s="5"/>
      <c r="G19" s="5"/>
    </row>
    <row r="20" spans="1:7" s="6" customFormat="1" ht="18.5" x14ac:dyDescent="0.45">
      <c r="A20" s="13"/>
      <c r="B20" s="28" t="s">
        <v>32</v>
      </c>
      <c r="C20" s="28" t="s">
        <v>33</v>
      </c>
      <c r="D20" s="5"/>
      <c r="E20" s="5"/>
      <c r="F20" s="5"/>
      <c r="G20" s="5"/>
    </row>
    <row r="21" spans="1:7" x14ac:dyDescent="0.35">
      <c r="A21" s="3"/>
      <c r="B21" s="3"/>
      <c r="C21" s="3"/>
      <c r="D21" s="3"/>
      <c r="E21" s="3"/>
      <c r="F21" s="3"/>
      <c r="G21" s="3"/>
    </row>
  </sheetData>
  <mergeCells count="2">
    <mergeCell ref="A15:C15"/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HUYNH TAN</dc:creator>
  <cp:lastModifiedBy>PC</cp:lastModifiedBy>
  <dcterms:created xsi:type="dcterms:W3CDTF">2025-12-07T00:25:12Z</dcterms:created>
  <dcterms:modified xsi:type="dcterms:W3CDTF">2026-04-11T01:02:21Z</dcterms:modified>
</cp:coreProperties>
</file>