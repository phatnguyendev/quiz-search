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New folder (7)\cb2505004\"/>
    </mc:Choice>
  </mc:AlternateContent>
  <bookViews>
    <workbookView xWindow="0" yWindow="0" windowWidth="16940" windowHeight="114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G13" i="1" s="1"/>
  <c r="C13" i="1"/>
  <c r="E12" i="1"/>
  <c r="G12" i="1" s="1"/>
  <c r="C12" i="1"/>
  <c r="E11" i="1"/>
  <c r="G11" i="1" s="1"/>
  <c r="C11" i="1"/>
  <c r="E10" i="1"/>
  <c r="G10" i="1" s="1"/>
  <c r="C10" i="1"/>
  <c r="E9" i="1"/>
  <c r="G9" i="1" s="1"/>
  <c r="C9" i="1"/>
  <c r="E8" i="1"/>
  <c r="G8" i="1" s="1"/>
  <c r="C8" i="1"/>
  <c r="E7" i="1"/>
  <c r="G7" i="1" s="1"/>
  <c r="C7" i="1"/>
  <c r="E6" i="1"/>
  <c r="G6" i="1" s="1"/>
  <c r="C6" i="1"/>
  <c r="E5" i="1"/>
  <c r="G5" i="1" s="1"/>
  <c r="C5" i="1"/>
  <c r="E4" i="1"/>
  <c r="G4" i="1" s="1"/>
  <c r="C4" i="1"/>
</calcChain>
</file>

<file path=xl/sharedStrings.xml><?xml version="1.0" encoding="utf-8"?>
<sst xmlns="http://schemas.openxmlformats.org/spreadsheetml/2006/main" count="28" uniqueCount="24">
  <si>
    <t>BẢNG THEO DÕI CHI TIẾT BÁN HÀNG</t>
  </si>
  <si>
    <t>TT</t>
  </si>
  <si>
    <t>MAHH</t>
  </si>
  <si>
    <t>Tên Hàng</t>
  </si>
  <si>
    <t>Loại Hàng</t>
  </si>
  <si>
    <t>Đơn Giá</t>
  </si>
  <si>
    <t>Số lượng</t>
  </si>
  <si>
    <t>Thành Tiền</t>
  </si>
  <si>
    <t>PEA</t>
  </si>
  <si>
    <t>Tên hàng</t>
  </si>
  <si>
    <t>VTB</t>
  </si>
  <si>
    <t>EL</t>
  </si>
  <si>
    <t>Elf Gas</t>
  </si>
  <si>
    <t>SGA</t>
  </si>
  <si>
    <t>PE</t>
  </si>
  <si>
    <t>Petrolimex</t>
  </si>
  <si>
    <t>VTA</t>
  </si>
  <si>
    <t>SG</t>
  </si>
  <si>
    <t>Sài Gòn Petro</t>
  </si>
  <si>
    <t>ELB</t>
  </si>
  <si>
    <t>VT</t>
  </si>
  <si>
    <t>VT Gas</t>
  </si>
  <si>
    <t>PEB</t>
  </si>
  <si>
    <t>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</si>
</sst>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đồng&quot;"/>
  </numFmts>
  <fonts count="6" x14ac:knownFonts="1">
    <font>
      <sz val="11"/>
      <color theme="1"/>
      <name val="Calibri"/>
      <family val="2"/>
      <scheme val="minor"/>
    </font>
    <font>
      <sz val="13"/>
      <color theme="1"/>
      <name val="Tahoma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A3" sqref="A3:A13"/>
    </sheetView>
  </sheetViews>
  <sheetFormatPr defaultColWidth="9" defaultRowHeight="14.5" x14ac:dyDescent="0.35"/>
  <cols>
    <col min="1" max="1" width="4.7265625" style="2" customWidth="1"/>
    <col min="2" max="2" width="11.54296875" style="2" customWidth="1"/>
    <col min="3" max="3" width="18.26953125" style="2" customWidth="1"/>
    <col min="4" max="4" width="13.81640625" style="2" customWidth="1"/>
    <col min="5" max="5" width="13.26953125" style="2" customWidth="1"/>
    <col min="6" max="6" width="14.81640625" style="2" customWidth="1"/>
    <col min="7" max="7" width="27" style="2" customWidth="1"/>
    <col min="8" max="9" width="9" style="2"/>
    <col min="10" max="10" width="22.453125" style="2" customWidth="1"/>
    <col min="11" max="16384" width="9" style="2"/>
  </cols>
  <sheetData>
    <row r="1" spans="1:12" ht="20" x14ac:dyDescent="0.35">
      <c r="A1" s="1"/>
      <c r="B1" s="1"/>
      <c r="C1" s="9" t="s">
        <v>0</v>
      </c>
      <c r="D1" s="10"/>
      <c r="E1" s="10"/>
      <c r="F1" s="10"/>
      <c r="G1" s="10"/>
      <c r="H1" s="1"/>
      <c r="I1" s="1"/>
      <c r="J1" s="1"/>
      <c r="K1" s="1"/>
      <c r="L1" s="1"/>
    </row>
    <row r="2" spans="1:12" ht="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35">
      <c r="A3" s="11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/>
      <c r="I3" s="5"/>
      <c r="J3" s="5"/>
      <c r="K3" s="1"/>
      <c r="L3" s="1"/>
    </row>
    <row r="4" spans="1:12" ht="16.5" x14ac:dyDescent="0.35">
      <c r="A4" s="12">
        <v>1</v>
      </c>
      <c r="B4" s="6" t="s">
        <v>8</v>
      </c>
      <c r="C4" s="7" t="str">
        <f>VLOOKUP(LEFT(B4,2),$I$4:$J$8,2,0)</f>
        <v>Petrolimex</v>
      </c>
      <c r="D4" s="6">
        <v>1</v>
      </c>
      <c r="E4" s="7">
        <f>IF(RIGHT(B4,1)="A",45000,62000)</f>
        <v>45000</v>
      </c>
      <c r="F4" s="6">
        <v>90</v>
      </c>
      <c r="G4" s="8">
        <f>F4*E4</f>
        <v>4050000</v>
      </c>
      <c r="H4" s="5"/>
      <c r="I4" s="4" t="s">
        <v>2</v>
      </c>
      <c r="J4" s="4" t="s">
        <v>9</v>
      </c>
      <c r="K4" s="1"/>
      <c r="L4" s="1"/>
    </row>
    <row r="5" spans="1:12" ht="16.5" x14ac:dyDescent="0.35">
      <c r="A5" s="12">
        <v>2</v>
      </c>
      <c r="B5" s="6" t="s">
        <v>10</v>
      </c>
      <c r="C5" s="7" t="str">
        <f t="shared" ref="C5:C13" si="0">VLOOKUP(LEFT(B5,2),$I$4:$J$8,2,0)</f>
        <v>VT Gas</v>
      </c>
      <c r="D5" s="6">
        <v>2</v>
      </c>
      <c r="E5" s="7">
        <f t="shared" ref="E5:E13" si="1">IF(RIGHT(B5,1)="A",45000,62000)</f>
        <v>62000</v>
      </c>
      <c r="F5" s="6">
        <v>120</v>
      </c>
      <c r="G5" s="8">
        <f t="shared" ref="G5:G13" si="2">F5*E5</f>
        <v>7440000</v>
      </c>
      <c r="H5" s="5"/>
      <c r="I5" s="6" t="s">
        <v>11</v>
      </c>
      <c r="J5" s="6" t="s">
        <v>12</v>
      </c>
      <c r="K5" s="1"/>
      <c r="L5" s="1"/>
    </row>
    <row r="6" spans="1:12" ht="16.5" x14ac:dyDescent="0.35">
      <c r="A6" s="12">
        <v>3</v>
      </c>
      <c r="B6" s="6" t="s">
        <v>13</v>
      </c>
      <c r="C6" s="7" t="str">
        <f t="shared" si="0"/>
        <v>Sài Gòn Petro</v>
      </c>
      <c r="D6" s="6">
        <v>1</v>
      </c>
      <c r="E6" s="7">
        <f t="shared" si="1"/>
        <v>45000</v>
      </c>
      <c r="F6" s="6">
        <v>70</v>
      </c>
      <c r="G6" s="8">
        <f t="shared" si="2"/>
        <v>3150000</v>
      </c>
      <c r="H6" s="5"/>
      <c r="I6" s="6" t="s">
        <v>14</v>
      </c>
      <c r="J6" s="6" t="s">
        <v>15</v>
      </c>
      <c r="K6" s="1"/>
      <c r="L6" s="1"/>
    </row>
    <row r="7" spans="1:12" ht="16.5" x14ac:dyDescent="0.35">
      <c r="A7" s="12">
        <v>4</v>
      </c>
      <c r="B7" s="6" t="s">
        <v>16</v>
      </c>
      <c r="C7" s="7" t="str">
        <f t="shared" si="0"/>
        <v>VT Gas</v>
      </c>
      <c r="D7" s="6">
        <v>1</v>
      </c>
      <c r="E7" s="7">
        <f t="shared" si="1"/>
        <v>45000</v>
      </c>
      <c r="F7" s="6">
        <v>160</v>
      </c>
      <c r="G7" s="8">
        <f t="shared" si="2"/>
        <v>7200000</v>
      </c>
      <c r="H7" s="5"/>
      <c r="I7" s="6" t="s">
        <v>17</v>
      </c>
      <c r="J7" s="6" t="s">
        <v>18</v>
      </c>
      <c r="K7" s="1"/>
      <c r="L7" s="1"/>
    </row>
    <row r="8" spans="1:12" ht="16.5" x14ac:dyDescent="0.35">
      <c r="A8" s="12">
        <v>5</v>
      </c>
      <c r="B8" s="6" t="s">
        <v>19</v>
      </c>
      <c r="C8" s="7" t="str">
        <f t="shared" si="0"/>
        <v>Elf Gas</v>
      </c>
      <c r="D8" s="6">
        <v>2</v>
      </c>
      <c r="E8" s="7">
        <f t="shared" si="1"/>
        <v>62000</v>
      </c>
      <c r="F8" s="6">
        <v>60</v>
      </c>
      <c r="G8" s="8">
        <f t="shared" si="2"/>
        <v>3720000</v>
      </c>
      <c r="H8" s="5"/>
      <c r="I8" s="6" t="s">
        <v>20</v>
      </c>
      <c r="J8" s="6" t="s">
        <v>21</v>
      </c>
      <c r="K8" s="1"/>
      <c r="L8" s="1"/>
    </row>
    <row r="9" spans="1:12" ht="16.5" x14ac:dyDescent="0.35">
      <c r="A9" s="12">
        <v>6</v>
      </c>
      <c r="B9" s="6" t="s">
        <v>22</v>
      </c>
      <c r="C9" s="7" t="str">
        <f t="shared" si="0"/>
        <v>Petrolimex</v>
      </c>
      <c r="D9" s="6">
        <v>2</v>
      </c>
      <c r="E9" s="7">
        <f t="shared" si="1"/>
        <v>62000</v>
      </c>
      <c r="F9" s="6">
        <v>75</v>
      </c>
      <c r="G9" s="8">
        <f t="shared" si="2"/>
        <v>4650000</v>
      </c>
      <c r="H9" s="5"/>
      <c r="I9" s="5"/>
      <c r="J9" s="5"/>
      <c r="K9" s="1"/>
      <c r="L9" s="1"/>
    </row>
    <row r="10" spans="1:12" ht="16.5" x14ac:dyDescent="0.35">
      <c r="A10" s="12">
        <v>7</v>
      </c>
      <c r="B10" s="6" t="s">
        <v>13</v>
      </c>
      <c r="C10" s="7" t="str">
        <f t="shared" si="0"/>
        <v>Sài Gòn Petro</v>
      </c>
      <c r="D10" s="6">
        <v>2</v>
      </c>
      <c r="E10" s="7">
        <f t="shared" si="1"/>
        <v>45000</v>
      </c>
      <c r="F10" s="6">
        <v>65</v>
      </c>
      <c r="G10" s="8">
        <f t="shared" si="2"/>
        <v>2925000</v>
      </c>
      <c r="H10" s="5"/>
      <c r="I10" s="5"/>
      <c r="J10" s="5"/>
      <c r="K10" s="1"/>
      <c r="L10" s="1"/>
    </row>
    <row r="11" spans="1:12" ht="16.5" x14ac:dyDescent="0.35">
      <c r="A11" s="12">
        <v>8</v>
      </c>
      <c r="B11" s="6" t="s">
        <v>16</v>
      </c>
      <c r="C11" s="7" t="str">
        <f t="shared" si="0"/>
        <v>VT Gas</v>
      </c>
      <c r="D11" s="6">
        <v>1</v>
      </c>
      <c r="E11" s="7">
        <f t="shared" si="1"/>
        <v>45000</v>
      </c>
      <c r="F11" s="6">
        <v>98</v>
      </c>
      <c r="G11" s="8">
        <f t="shared" si="2"/>
        <v>4410000</v>
      </c>
      <c r="H11" s="5"/>
      <c r="I11" s="5"/>
      <c r="J11" s="5"/>
      <c r="K11" s="1"/>
      <c r="L11" s="1"/>
    </row>
    <row r="12" spans="1:12" ht="16.5" x14ac:dyDescent="0.35">
      <c r="A12" s="12">
        <v>9</v>
      </c>
      <c r="B12" s="6" t="s">
        <v>23</v>
      </c>
      <c r="C12" s="7" t="str">
        <f t="shared" si="0"/>
        <v>Elf Gas</v>
      </c>
      <c r="D12" s="6">
        <v>1</v>
      </c>
      <c r="E12" s="7">
        <f t="shared" si="1"/>
        <v>45000</v>
      </c>
      <c r="F12" s="6">
        <v>130</v>
      </c>
      <c r="G12" s="8">
        <f t="shared" si="2"/>
        <v>5850000</v>
      </c>
      <c r="H12" s="5"/>
      <c r="I12" s="5"/>
      <c r="J12" s="5"/>
      <c r="K12" s="1"/>
      <c r="L12" s="1"/>
    </row>
    <row r="13" spans="1:12" ht="16.5" x14ac:dyDescent="0.35">
      <c r="A13" s="12">
        <v>10</v>
      </c>
      <c r="B13" s="6" t="s">
        <v>22</v>
      </c>
      <c r="C13" s="7" t="str">
        <f t="shared" si="0"/>
        <v>Petrolimex</v>
      </c>
      <c r="D13" s="6">
        <v>2</v>
      </c>
      <c r="E13" s="7">
        <f t="shared" si="1"/>
        <v>62000</v>
      </c>
      <c r="F13" s="6">
        <v>180</v>
      </c>
      <c r="G13" s="8">
        <f t="shared" si="2"/>
        <v>11160000</v>
      </c>
      <c r="H13" s="5"/>
      <c r="I13" s="5"/>
      <c r="J13" s="5"/>
      <c r="K13" s="1"/>
      <c r="L13" s="1"/>
    </row>
    <row r="14" spans="1:12" ht="16" x14ac:dyDescent="0.35">
      <c r="A14" s="3"/>
      <c r="B14" s="3"/>
      <c r="C14" s="3"/>
      <c r="D14" s="3"/>
      <c r="E14" s="3"/>
      <c r="F14" s="3"/>
      <c r="G14" s="3"/>
      <c r="H14" s="1"/>
      <c r="I14" s="1"/>
      <c r="J14" s="1"/>
      <c r="K14" s="1"/>
      <c r="L14" s="1"/>
    </row>
    <row r="15" spans="1:12" ht="1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mergeCells count="1"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2024-12-01T00:54:08Z</dcterms:created>
  <dcterms:modified xsi:type="dcterms:W3CDTF">2025-09-13T14:28:13Z</dcterms:modified>
</cp:coreProperties>
</file>