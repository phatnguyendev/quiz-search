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timkiem\quiz-search\dapan\"/>
    </mc:Choice>
  </mc:AlternateContent>
  <bookViews>
    <workbookView xWindow="0" yWindow="0" windowWidth="14265" windowHeight="1111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2" i="1" l="1"/>
  <c r="I12" i="1" s="1"/>
  <c r="H11" i="1"/>
  <c r="I11" i="1" s="1"/>
  <c r="H10" i="1"/>
  <c r="I10" i="1" s="1"/>
  <c r="I9" i="1"/>
  <c r="H9" i="1"/>
  <c r="I8" i="1"/>
  <c r="I7" i="1"/>
  <c r="H7" i="1"/>
  <c r="H6" i="1"/>
  <c r="I6" i="1" s="1"/>
  <c r="H5" i="1"/>
  <c r="I5" i="1" s="1"/>
</calcChain>
</file>

<file path=xl/sharedStrings.xml><?xml version="1.0" encoding="utf-8"?>
<sst xmlns="http://schemas.openxmlformats.org/spreadsheetml/2006/main" count="39" uniqueCount="33">
  <si>
    <t>KẾT QUẢ THI CHUẨN KỸ NĂNG CNTT</t>
  </si>
  <si>
    <t>STT</t>
  </si>
  <si>
    <t>MÃ  HS</t>
  </si>
  <si>
    <t>HỌ ĐỆM</t>
  </si>
  <si>
    <t>TÊN</t>
  </si>
  <si>
    <t>CÁC MÔN THI</t>
  </si>
  <si>
    <t>ĐIỂM KHU VỰC</t>
  </si>
  <si>
    <t>ĐIỂM TB</t>
  </si>
  <si>
    <t>XẾP LOẠI</t>
  </si>
  <si>
    <t>WORD</t>
  </si>
  <si>
    <t>EXCEL</t>
  </si>
  <si>
    <t>PPT</t>
  </si>
  <si>
    <t>HS1</t>
  </si>
  <si>
    <t>Phạm Văn</t>
  </si>
  <si>
    <t>Bảo</t>
  </si>
  <si>
    <t>HS2</t>
  </si>
  <si>
    <t xml:space="preserve">Phạm Thị </t>
  </si>
  <si>
    <t>Châu</t>
  </si>
  <si>
    <t>HS3</t>
  </si>
  <si>
    <t>Trịnh Thị</t>
  </si>
  <si>
    <t>Lan</t>
  </si>
  <si>
    <t>Trần Thị</t>
  </si>
  <si>
    <t>Dung</t>
  </si>
  <si>
    <t>Triệu Văn</t>
  </si>
  <si>
    <t>Quang</t>
  </si>
  <si>
    <t>Trương Văn</t>
  </si>
  <si>
    <t>Hòa</t>
  </si>
  <si>
    <t>Nguyễn Văn</t>
  </si>
  <si>
    <t>An</t>
  </si>
  <si>
    <t>Lê Văn</t>
  </si>
  <si>
    <t>Nam</t>
  </si>
  <si>
    <t>BẢNG ĐIỂM KHU VỰC</t>
  </si>
  <si>
    <t>MÃ 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</si>
</sst>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4" x14ac:knownFonts="1">
    <font>
      <sz val="11"/>
      <color theme="1"/>
      <name val="Calibri"/>
      <family val="2"/>
      <charset val="163"/>
      <scheme val="minor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b/>
      <sz val="14"/>
      <color rgb="FFFF0000"/>
      <name val="Times New Roman"/>
      <family val="1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 applyFill="1"/>
    <xf numFmtId="0" fontId="2" fillId="0" borderId="5" xfId="0" applyFont="1" applyFill="1" applyBorder="1" applyAlignment="1">
      <alignment horizontal="center"/>
    </xf>
    <xf numFmtId="164" fontId="2" fillId="0" borderId="5" xfId="0" applyNumberFormat="1" applyFont="1" applyFill="1" applyBorder="1" applyAlignment="1">
      <alignment horizontal="center"/>
    </xf>
    <xf numFmtId="0" fontId="3" fillId="0" borderId="0" xfId="0" applyFont="1" applyFill="1" applyAlignment="1">
      <alignment horizontal="center"/>
    </xf>
    <xf numFmtId="0" fontId="3" fillId="0" borderId="0" xfId="0" applyFont="1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 wrapText="1"/>
    </xf>
    <xf numFmtId="0" fontId="1" fillId="0" borderId="6" xfId="0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0" fontId="2" fillId="0" borderId="5" xfId="0" applyFont="1" applyFill="1" applyBorder="1" applyAlignment="1">
      <alignment horizontal="center" vertical="center"/>
    </xf>
    <xf numFmtId="0" fontId="2" fillId="0" borderId="5" xfId="0" applyFont="1" applyFill="1" applyBorder="1"/>
    <xf numFmtId="164" fontId="2" fillId="0" borderId="5" xfId="0" applyNumberFormat="1" applyFont="1" applyFill="1" applyBorder="1" applyAlignment="1">
      <alignment horizontal="center" vertical="center"/>
    </xf>
    <xf numFmtId="0" fontId="1" fillId="0" borderId="5" xfId="0" applyFont="1" applyFill="1" applyBorder="1"/>
    <xf numFmtId="164" fontId="2" fillId="0" borderId="5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tabSelected="1" workbookViewId="0">
      <selection activeCell="O8" sqref="O8"/>
    </sheetView>
  </sheetViews>
  <sheetFormatPr defaultRowHeight="18.75" x14ac:dyDescent="0.3"/>
  <cols>
    <col min="1" max="1" width="9.140625" style="1"/>
    <col min="2" max="2" width="10.7109375" style="1" customWidth="1"/>
    <col min="3" max="3" width="22.42578125" style="1" bestFit="1" customWidth="1"/>
    <col min="4" max="4" width="8.28515625" style="1" bestFit="1" customWidth="1"/>
    <col min="5" max="5" width="10.140625" style="1" bestFit="1" customWidth="1"/>
    <col min="6" max="6" width="10.5703125" style="1" bestFit="1" customWidth="1"/>
    <col min="7" max="7" width="6.5703125" style="1" bestFit="1" customWidth="1"/>
    <col min="8" max="8" width="15" style="1" customWidth="1"/>
    <col min="9" max="9" width="10.5703125" style="1" customWidth="1"/>
    <col min="10" max="10" width="12.140625" style="1" customWidth="1"/>
    <col min="11" max="16384" width="9.140625" style="1"/>
  </cols>
  <sheetData>
    <row r="1" spans="1:10" x14ac:dyDescent="0.3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</row>
    <row r="3" spans="1:10" x14ac:dyDescent="0.3">
      <c r="A3" s="6" t="s">
        <v>1</v>
      </c>
      <c r="B3" s="6" t="s">
        <v>2</v>
      </c>
      <c r="C3" s="6" t="s">
        <v>3</v>
      </c>
      <c r="D3" s="6" t="s">
        <v>4</v>
      </c>
      <c r="E3" s="7" t="s">
        <v>5</v>
      </c>
      <c r="F3" s="8"/>
      <c r="G3" s="9"/>
      <c r="H3" s="10" t="s">
        <v>6</v>
      </c>
      <c r="I3" s="10" t="s">
        <v>7</v>
      </c>
      <c r="J3" s="10" t="s">
        <v>8</v>
      </c>
    </row>
    <row r="4" spans="1:10" x14ac:dyDescent="0.3">
      <c r="A4" s="11"/>
      <c r="B4" s="11"/>
      <c r="C4" s="11"/>
      <c r="D4" s="11"/>
      <c r="E4" s="12" t="s">
        <v>9</v>
      </c>
      <c r="F4" s="12" t="s">
        <v>10</v>
      </c>
      <c r="G4" s="12" t="s">
        <v>11</v>
      </c>
      <c r="H4" s="10"/>
      <c r="I4" s="10"/>
      <c r="J4" s="10"/>
    </row>
    <row r="5" spans="1:10" x14ac:dyDescent="0.3">
      <c r="A5" s="13">
        <v>1</v>
      </c>
      <c r="B5" s="2" t="s">
        <v>12</v>
      </c>
      <c r="C5" s="14" t="s">
        <v>13</v>
      </c>
      <c r="D5" s="14" t="s">
        <v>14</v>
      </c>
      <c r="E5" s="15">
        <v>9</v>
      </c>
      <c r="F5" s="15">
        <v>9</v>
      </c>
      <c r="G5" s="15">
        <v>8</v>
      </c>
      <c r="H5" s="3" t="str">
        <f>IF(RIGHT(B5,1)="1","1",IF(RIGHT(B5,1)="2","1,5","2"))</f>
        <v>1</v>
      </c>
      <c r="I5" s="3">
        <f t="shared" ref="I5:I12" si="0">AVERAGE(E5:G5)+H5</f>
        <v>9.6666666666666661</v>
      </c>
      <c r="J5" s="2"/>
    </row>
    <row r="6" spans="1:10" x14ac:dyDescent="0.3">
      <c r="A6" s="13">
        <v>4</v>
      </c>
      <c r="B6" s="2" t="s">
        <v>15</v>
      </c>
      <c r="C6" s="14" t="s">
        <v>16</v>
      </c>
      <c r="D6" s="14" t="s">
        <v>17</v>
      </c>
      <c r="E6" s="15">
        <v>8</v>
      </c>
      <c r="F6" s="15">
        <v>9</v>
      </c>
      <c r="G6" s="15">
        <v>6</v>
      </c>
      <c r="H6" s="3" t="str">
        <f>IF(RIGHT(B6,1)="1","1",IF(RIGHT(B6,1)="2","1,5","2"))</f>
        <v>1,5</v>
      </c>
      <c r="I6" s="3">
        <f t="shared" si="0"/>
        <v>9.1666666666666679</v>
      </c>
      <c r="J6" s="2"/>
    </row>
    <row r="7" spans="1:10" x14ac:dyDescent="0.3">
      <c r="A7" s="13">
        <v>6</v>
      </c>
      <c r="B7" s="2" t="s">
        <v>18</v>
      </c>
      <c r="C7" s="14" t="s">
        <v>19</v>
      </c>
      <c r="D7" s="14" t="s">
        <v>20</v>
      </c>
      <c r="E7" s="15">
        <v>7</v>
      </c>
      <c r="F7" s="15">
        <v>7</v>
      </c>
      <c r="G7" s="15">
        <v>7</v>
      </c>
      <c r="H7" s="3" t="str">
        <f>IF(RIGHT(B7,1)="1","1",IF(RIGHT(B7,1)="2","1,5","2"))</f>
        <v>2</v>
      </c>
      <c r="I7" s="2">
        <f t="shared" si="0"/>
        <v>9</v>
      </c>
      <c r="J7" s="2"/>
    </row>
    <row r="8" spans="1:10" x14ac:dyDescent="0.3">
      <c r="A8" s="13">
        <v>2</v>
      </c>
      <c r="B8" s="2" t="s">
        <v>15</v>
      </c>
      <c r="C8" s="14" t="s">
        <v>21</v>
      </c>
      <c r="D8" s="14" t="s">
        <v>22</v>
      </c>
      <c r="E8" s="15">
        <v>9</v>
      </c>
      <c r="F8" s="15">
        <v>4</v>
      </c>
      <c r="G8" s="15">
        <v>8</v>
      </c>
      <c r="H8" s="3">
        <v>1.5</v>
      </c>
      <c r="I8" s="2">
        <f t="shared" si="0"/>
        <v>8.5</v>
      </c>
      <c r="J8" s="2"/>
    </row>
    <row r="9" spans="1:10" x14ac:dyDescent="0.3">
      <c r="A9" s="13">
        <v>8</v>
      </c>
      <c r="B9" s="2" t="s">
        <v>15</v>
      </c>
      <c r="C9" s="14" t="s">
        <v>23</v>
      </c>
      <c r="D9" s="14" t="s">
        <v>24</v>
      </c>
      <c r="E9" s="15">
        <v>7</v>
      </c>
      <c r="F9" s="15">
        <v>7</v>
      </c>
      <c r="G9" s="15">
        <v>7</v>
      </c>
      <c r="H9" s="3" t="str">
        <f>IF(RIGHT(B9,1)="1","1",IF(RIGHT(B9,1)="2","1,5","2"))</f>
        <v>1,5</v>
      </c>
      <c r="I9" s="2">
        <f t="shared" si="0"/>
        <v>8.5</v>
      </c>
      <c r="J9" s="2"/>
    </row>
    <row r="10" spans="1:10" x14ac:dyDescent="0.3">
      <c r="A10" s="13">
        <v>5</v>
      </c>
      <c r="B10" s="2" t="s">
        <v>12</v>
      </c>
      <c r="C10" s="14" t="s">
        <v>25</v>
      </c>
      <c r="D10" s="14" t="s">
        <v>26</v>
      </c>
      <c r="E10" s="15">
        <v>8</v>
      </c>
      <c r="F10" s="15">
        <v>9</v>
      </c>
      <c r="G10" s="15">
        <v>5</v>
      </c>
      <c r="H10" s="3" t="str">
        <f>IF(RIGHT(B10,1)="1","1",IF(RIGHT(B10,1)="2","1,5","2"))</f>
        <v>1</v>
      </c>
      <c r="I10" s="3">
        <f t="shared" si="0"/>
        <v>8.3333333333333321</v>
      </c>
      <c r="J10" s="2"/>
    </row>
    <row r="11" spans="1:10" x14ac:dyDescent="0.3">
      <c r="A11" s="13">
        <v>3</v>
      </c>
      <c r="B11" s="2" t="s">
        <v>18</v>
      </c>
      <c r="C11" s="14" t="s">
        <v>27</v>
      </c>
      <c r="D11" s="14" t="s">
        <v>28</v>
      </c>
      <c r="E11" s="15">
        <v>7</v>
      </c>
      <c r="F11" s="15">
        <v>2</v>
      </c>
      <c r="G11" s="15">
        <v>4</v>
      </c>
      <c r="H11" s="3" t="str">
        <f>IF(RIGHT(B11,1)="1","1",IF(RIGHT(B11,1)="2","1,5","2"))</f>
        <v>2</v>
      </c>
      <c r="I11" s="3">
        <f t="shared" si="0"/>
        <v>6.333333333333333</v>
      </c>
      <c r="J11" s="2"/>
    </row>
    <row r="12" spans="1:10" x14ac:dyDescent="0.3">
      <c r="A12" s="13">
        <v>7</v>
      </c>
      <c r="B12" s="2" t="s">
        <v>12</v>
      </c>
      <c r="C12" s="14" t="s">
        <v>29</v>
      </c>
      <c r="D12" s="14" t="s">
        <v>30</v>
      </c>
      <c r="E12" s="15">
        <v>5</v>
      </c>
      <c r="F12" s="15">
        <v>5</v>
      </c>
      <c r="G12" s="15">
        <v>5</v>
      </c>
      <c r="H12" s="3" t="str">
        <f>IF(RIGHT(B12,1)="1","1",IF(RIGHT(B12,1)="2","1,5","2"))</f>
        <v>1</v>
      </c>
      <c r="I12" s="2">
        <f t="shared" si="0"/>
        <v>6</v>
      </c>
      <c r="J12" s="2"/>
    </row>
    <row r="14" spans="1:10" x14ac:dyDescent="0.3">
      <c r="B14" s="4" t="s">
        <v>31</v>
      </c>
      <c r="C14" s="4"/>
    </row>
    <row r="15" spans="1:10" x14ac:dyDescent="0.3">
      <c r="B15" s="16" t="s">
        <v>32</v>
      </c>
      <c r="C15" s="16" t="s">
        <v>6</v>
      </c>
    </row>
    <row r="16" spans="1:10" x14ac:dyDescent="0.3">
      <c r="B16" s="14">
        <v>1</v>
      </c>
      <c r="C16" s="17">
        <v>1</v>
      </c>
    </row>
    <row r="17" spans="2:3" x14ac:dyDescent="0.3">
      <c r="B17" s="14">
        <v>2</v>
      </c>
      <c r="C17" s="17">
        <v>1.5</v>
      </c>
    </row>
    <row r="18" spans="2:3" x14ac:dyDescent="0.3">
      <c r="B18" s="14">
        <v>3</v>
      </c>
      <c r="C18" s="17">
        <v>2</v>
      </c>
    </row>
  </sheetData>
  <mergeCells count="10">
    <mergeCell ref="B14:C14"/>
    <mergeCell ref="A1:J1"/>
    <mergeCell ref="A3:A4"/>
    <mergeCell ref="B3:B4"/>
    <mergeCell ref="C3:C4"/>
    <mergeCell ref="D3:D4"/>
    <mergeCell ref="E3:G3"/>
    <mergeCell ref="H3:H4"/>
    <mergeCell ref="I3:I4"/>
    <mergeCell ref="J3:J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dcterms:created xsi:type="dcterms:W3CDTF">2023-10-29T05:57:04Z</dcterms:created>
  <dcterms:modified xsi:type="dcterms:W3CDTF">2025-08-24T01:59:49Z</dcterms:modified>
</cp:coreProperties>
</file>