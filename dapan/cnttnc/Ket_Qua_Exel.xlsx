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 folder (3)\quiz-search\dapan\cnttnc\"/>
    </mc:Choice>
  </mc:AlternateContent>
  <bookViews>
    <workbookView xWindow="-110" yWindow="-110" windowWidth="23260" windowHeight="12580"/>
  </bookViews>
  <sheets>
    <sheet name="De 1" sheetId="1" r:id="rId1"/>
    <sheet name="Câu 6" sheetId="2" r:id="rId2"/>
    <sheet name="Câu 8" sheetId="3" r:id="rId3"/>
  </sheets>
  <definedNames>
    <definedName name="_xlnm.Criteria" localSheetId="1">'Câu 6'!$B$2:$C$3</definedName>
    <definedName name="_xlnm.Extract" localSheetId="1">'Câu 6'!$E$2:$P$2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0" i="1" l="1"/>
  <c r="H6" i="1"/>
  <c r="H7" i="1"/>
  <c r="H8" i="1"/>
  <c r="H9" i="1"/>
  <c r="H10" i="1"/>
  <c r="H11" i="1"/>
  <c r="H12" i="1"/>
  <c r="H13" i="1"/>
  <c r="H14" i="1"/>
  <c r="H5" i="1"/>
  <c r="L6" i="1"/>
  <c r="L7" i="1"/>
  <c r="L8" i="1"/>
  <c r="L9" i="1"/>
  <c r="L10" i="1"/>
  <c r="L11" i="1"/>
  <c r="L12" i="1"/>
  <c r="L13" i="1"/>
  <c r="L14" i="1"/>
  <c r="L5" i="1"/>
  <c r="G6" i="1"/>
  <c r="G7" i="1"/>
  <c r="G8" i="1"/>
  <c r="G9" i="1"/>
  <c r="G10" i="1"/>
  <c r="G11" i="1"/>
  <c r="G12" i="1"/>
  <c r="G13" i="1"/>
  <c r="G14" i="1"/>
  <c r="G5" i="1"/>
  <c r="F6" i="1"/>
  <c r="F7" i="1"/>
  <c r="F8" i="1"/>
  <c r="F9" i="1"/>
  <c r="F10" i="1"/>
  <c r="F11" i="1"/>
  <c r="F12" i="1"/>
  <c r="F13" i="1"/>
  <c r="F14" i="1"/>
  <c r="F5" i="1"/>
</calcChain>
</file>

<file path=xl/sharedStrings.xml><?xml version="1.0" encoding="utf-8"?>
<sst xmlns="http://schemas.openxmlformats.org/spreadsheetml/2006/main" count="103" uniqueCount="59">
  <si>
    <t>STT</t>
  </si>
  <si>
    <t>Tên</t>
  </si>
  <si>
    <t>Phái</t>
  </si>
  <si>
    <t>Năm sinh</t>
  </si>
  <si>
    <t>Trí</t>
  </si>
  <si>
    <t>Nam</t>
  </si>
  <si>
    <t>Hải</t>
  </si>
  <si>
    <t>Nữ</t>
  </si>
  <si>
    <t>Thanh</t>
  </si>
  <si>
    <t>Châu</t>
  </si>
  <si>
    <t>Bích</t>
  </si>
  <si>
    <t>Trang</t>
  </si>
  <si>
    <t>LOẠI</t>
  </si>
  <si>
    <t>A</t>
  </si>
  <si>
    <t>B</t>
  </si>
  <si>
    <t>C</t>
  </si>
  <si>
    <t>D</t>
  </si>
  <si>
    <t>Khu vực</t>
  </si>
  <si>
    <t>Hệ số</t>
  </si>
  <si>
    <t>Toán</t>
  </si>
  <si>
    <t>Lý</t>
  </si>
  <si>
    <t>Hóa</t>
  </si>
  <si>
    <t>A-NT-1</t>
  </si>
  <si>
    <t>B-NT-2</t>
  </si>
  <si>
    <t>C-TT-1</t>
  </si>
  <si>
    <t>B-HD-3</t>
  </si>
  <si>
    <t>Tuổi</t>
  </si>
  <si>
    <t>NT</t>
  </si>
  <si>
    <t>TT</t>
  </si>
  <si>
    <t>HD</t>
  </si>
  <si>
    <t>Nông thôn</t>
  </si>
  <si>
    <t>Hải đảo</t>
  </si>
  <si>
    <t>Mã KV</t>
  </si>
  <si>
    <t>Tên KV</t>
  </si>
  <si>
    <t>A-TT-3</t>
  </si>
  <si>
    <t>C-TT-2</t>
  </si>
  <si>
    <t>D-TT-3</t>
  </si>
  <si>
    <t>B-HD-1</t>
  </si>
  <si>
    <t>C-NT-1</t>
  </si>
  <si>
    <t>D-HD-2</t>
  </si>
  <si>
    <t>Tên
KV</t>
  </si>
  <si>
    <t>Điểm tổng</t>
  </si>
  <si>
    <t>MÃ HS</t>
  </si>
  <si>
    <t>Mã HS</t>
  </si>
  <si>
    <t>Thành thị</t>
  </si>
  <si>
    <t>BẢNG ĐIỂM THI ĐẠI HỌC NĂM 2025</t>
  </si>
  <si>
    <t>&gt;=22</t>
  </si>
  <si>
    <t>20-22</t>
  </si>
  <si>
    <t>18-20</t>
  </si>
  <si>
    <t>Điểm khu vực</t>
  </si>
  <si>
    <t>&gt;=20</t>
  </si>
  <si>
    <t>Câu 7</t>
  </si>
  <si>
    <t>B*</t>
  </si>
  <si>
    <t>&gt;=2005</t>
  </si>
  <si>
    <t>C*</t>
  </si>
  <si>
    <t>Sum of Điểm tổng</t>
  </si>
  <si>
    <t>Grand Total</t>
  </si>
  <si>
    <t>Column Labels</t>
  </si>
  <si>
    <t>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</si>
</sst>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3" fillId="0" borderId="13" xfId="0" applyFont="1" applyBorder="1"/>
    <xf numFmtId="0" fontId="2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17" xfId="0" applyFont="1" applyBorder="1"/>
    <xf numFmtId="0" fontId="2" fillId="0" borderId="0" xfId="0" applyFont="1"/>
    <xf numFmtId="0" fontId="2" fillId="0" borderId="0" xfId="0" applyFont="1" applyAlignment="1">
      <alignment horizontal="centerContinuous"/>
    </xf>
    <xf numFmtId="14" fontId="3" fillId="0" borderId="0" xfId="0" applyNumberFormat="1" applyFont="1"/>
    <xf numFmtId="43" fontId="3" fillId="0" borderId="2" xfId="1" applyFont="1" applyBorder="1"/>
    <xf numFmtId="0" fontId="2" fillId="2" borderId="9" xfId="0" applyFont="1" applyFill="1" applyBorder="1" applyAlignment="1">
      <alignment horizontal="center" vertical="center" wrapText="1"/>
    </xf>
    <xf numFmtId="43" fontId="3" fillId="0" borderId="0" xfId="0" applyNumberFormat="1" applyFont="1"/>
    <xf numFmtId="0" fontId="0" fillId="0" borderId="0" xfId="0" applyNumberFormat="1"/>
    <xf numFmtId="0" fontId="0" fillId="0" borderId="0" xfId="0" pivotButton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[Ket_Qua_Exel.xlsx]Câu 8!PivotTable1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8'!$B$3:$B$4</c:f>
              <c:strCache>
                <c:ptCount val="1"/>
                <c:pt idx="0">
                  <c:v>Hải đảo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8'!$A$5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'Câu 8'!$B$5</c:f>
              <c:numCache>
                <c:formatCode>General</c:formatCode>
                <c:ptCount val="1"/>
                <c:pt idx="0">
                  <c:v>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B-4F8E-A5CC-42CFD6899CC8}"/>
            </c:ext>
          </c:extLst>
        </c:ser>
        <c:ser>
          <c:idx val="1"/>
          <c:order val="1"/>
          <c:tx>
            <c:strRef>
              <c:f>'Câu 8'!$C$3:$C$4</c:f>
              <c:strCache>
                <c:ptCount val="1"/>
                <c:pt idx="0">
                  <c:v>Nông thôn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'Câu 8'!$A$5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'Câu 8'!$C$5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1B-4F8E-A5CC-42CFD6899CC8}"/>
            </c:ext>
          </c:extLst>
        </c:ser>
        <c:ser>
          <c:idx val="2"/>
          <c:order val="2"/>
          <c:tx>
            <c:strRef>
              <c:f>'Câu 8'!$D$3:$D$4</c:f>
              <c:strCache>
                <c:ptCount val="1"/>
                <c:pt idx="0">
                  <c:v>Thành thị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'Câu 8'!$A$5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'Câu 8'!$D$5</c:f>
              <c:numCache>
                <c:formatCode>General</c:formatCode>
                <c:ptCount val="1"/>
                <c:pt idx="0">
                  <c:v>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1B-4F8E-A5CC-42CFD6899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301216"/>
        <c:axId val="1862303136"/>
      </c:barChart>
      <c:catAx>
        <c:axId val="186230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303136"/>
        <c:crosses val="autoZero"/>
        <c:auto val="1"/>
        <c:lblAlgn val="ctr"/>
        <c:lblOffset val="100"/>
        <c:noMultiLvlLbl val="0"/>
      </c:catAx>
      <c:valAx>
        <c:axId val="18623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3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320040</xdr:colOff>
      <xdr:row>3</xdr:row>
      <xdr:rowOff>15240</xdr:rowOff>
    </xdr:from>
    <xdr:to>
      <xdr:col>25</xdr:col>
      <xdr:colOff>350520</xdr:colOff>
      <xdr:row>11</xdr:row>
      <xdr:rowOff>220980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D3ED7D-0EA0-4D06-9852-C16D83084D1E}"/>
            </a:ext>
          </a:extLst>
        </xdr:cNvPr>
        <xdr:cNvSpPr txBox="1"/>
      </xdr:nvSpPr>
      <xdr:spPr>
        <a:xfrm>
          <a:off x="8031480" y="701040"/>
          <a:ext cx="8397240" cy="224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Yêu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cầu:</a:t>
          </a:r>
        </a:p>
        <a:p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1. Dựa vào bảng Khu vực, hãy tính điểm khu vực cho từng Học sinh.</a:t>
          </a:r>
        </a:p>
        <a:p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2. Dựa vào bảng Hệ số, hãy tính điểm hệ số cho từng Học sinh.</a:t>
          </a:r>
        </a:p>
        <a:p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3. Dựa vào bảng Hệ số điền Tên khu vực trong bảng chính.</a:t>
          </a:r>
        </a:p>
        <a:p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4. Điểm tổng = Toán + Lý + Hóa + Khu vực + Hệ số.</a:t>
          </a:r>
        </a:p>
        <a:p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5. Sắp xếp tăng dần theo Tên, nếu trùng Tên thì sắp xếp tăng dần theo Năm sinh, nếu trùng Năm sinh thì sắp xếp tăng dần theo Điểm tổng.</a:t>
          </a:r>
        </a:p>
        <a:p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6. Trích lọc sang sheet khác Học sinh ở Thành thị có điểm tổng &gt;=20.</a:t>
          </a:r>
        </a:p>
        <a:p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7. Tính tổng điểm khu vực của Học sinh có mã là B và C có Năm sinh &gt;=2005.</a:t>
          </a:r>
        </a:p>
        <a:p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8. Lập bảng Pivot Table tính tổng điểm của Học sinh theo từng Khu vực.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3</xdr:row>
      <xdr:rowOff>22860</xdr:rowOff>
    </xdr:from>
    <xdr:to>
      <xdr:col>12</xdr:col>
      <xdr:colOff>556260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7A276-F690-8C2B-B88A-C1D67083C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Đinh Khắc Huy" refreshedDate="46150.329329398148" createdVersion="8" refreshedVersion="8" minRefreshableVersion="3" recordCount="10">
  <cacheSource type="worksheet">
    <worksheetSource ref="A4:L14" sheet="De 1"/>
  </cacheSource>
  <cacheFields count="12">
    <cacheField name="STT" numFmtId="0">
      <sharedItems containsSemiMixedTypes="0" containsString="0" containsNumber="1" containsInteger="1" minValue="1" maxValue="10"/>
    </cacheField>
    <cacheField name="MÃ HS" numFmtId="0">
      <sharedItems/>
    </cacheField>
    <cacheField name="Tên" numFmtId="0">
      <sharedItems/>
    </cacheField>
    <cacheField name="Phái" numFmtId="0">
      <sharedItems/>
    </cacheField>
    <cacheField name="Năm sinh" numFmtId="0">
      <sharedItems containsSemiMixedTypes="0" containsString="0" containsNumber="1" containsInteger="1" minValue="2003" maxValue="2008"/>
    </cacheField>
    <cacheField name="Điểm khu vực" numFmtId="0">
      <sharedItems containsSemiMixedTypes="0" containsString="0" containsNumber="1" minValue="0.1" maxValue="0.6"/>
    </cacheField>
    <cacheField name="Hệ số" numFmtId="0">
      <sharedItems containsSemiMixedTypes="0" containsString="0" containsNumber="1" minValue="0.1" maxValue="0.75"/>
    </cacheField>
    <cacheField name="Tên_x000a_KV" numFmtId="0">
      <sharedItems count="3">
        <s v="Nông thôn"/>
        <s v="Thành thị"/>
        <s v="Hải đảo"/>
      </sharedItems>
    </cacheField>
    <cacheField name="Toán" numFmtId="0">
      <sharedItems containsSemiMixedTypes="0" containsString="0" containsNumber="1" minValue="3" maxValue="9"/>
    </cacheField>
    <cacheField name="Lý" numFmtId="0">
      <sharedItems containsSemiMixedTypes="0" containsString="0" containsNumber="1" minValue="3.5" maxValue="9"/>
    </cacheField>
    <cacheField name="Hóa" numFmtId="0">
      <sharedItems containsSemiMixedTypes="0" containsString="0" containsNumber="1" minValue="2" maxValue="8.5"/>
    </cacheField>
    <cacheField name="Điểm tổng" numFmtId="43">
      <sharedItems containsSemiMixedTypes="0" containsString="0" containsNumber="1" minValue="8.5" maxValue="2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A-NT-1"/>
    <s v="Trí"/>
    <s v="Nam"/>
    <n v="2006"/>
    <n v="0.1"/>
    <n v="0.5"/>
    <x v="0"/>
    <n v="5.5"/>
    <n v="6.5"/>
    <n v="5"/>
    <n v="17"/>
  </r>
  <r>
    <n v="2"/>
    <s v="B-NT-2"/>
    <s v="Hải"/>
    <s v="Nữ"/>
    <n v="2005"/>
    <n v="0.3"/>
    <n v="0.5"/>
    <x v="0"/>
    <n v="8"/>
    <n v="6.5"/>
    <n v="6"/>
    <n v="20.5"/>
  </r>
  <r>
    <n v="3"/>
    <s v="C-TT-1"/>
    <s v="Thanh"/>
    <s v="Nam"/>
    <n v="2008"/>
    <n v="0.3"/>
    <n v="0.1"/>
    <x v="1"/>
    <n v="9"/>
    <n v="8"/>
    <n v="8.5"/>
    <n v="25.5"/>
  </r>
  <r>
    <n v="4"/>
    <s v="B-HD-3"/>
    <s v="Châu"/>
    <s v="Nữ"/>
    <n v="2005"/>
    <n v="0.4"/>
    <n v="0.5"/>
    <x v="2"/>
    <n v="7"/>
    <n v="6.5"/>
    <n v="6"/>
    <n v="19.5"/>
  </r>
  <r>
    <n v="5"/>
    <s v="B-HD-1"/>
    <s v="Châu"/>
    <s v="Nam"/>
    <n v="2006"/>
    <n v="0.2"/>
    <n v="0.5"/>
    <x v="2"/>
    <n v="8"/>
    <n v="6.5"/>
    <n v="8"/>
    <n v="22.5"/>
  </r>
  <r>
    <n v="6"/>
    <s v="C-NT-1"/>
    <s v="Hải"/>
    <s v="Nam"/>
    <n v="2004"/>
    <n v="0.3"/>
    <n v="0.75"/>
    <x v="0"/>
    <n v="4"/>
    <n v="6"/>
    <n v="5.5"/>
    <n v="15.5"/>
  </r>
  <r>
    <n v="7"/>
    <s v="D-HD-2"/>
    <s v="Bích"/>
    <s v="Nữ"/>
    <n v="2005"/>
    <n v="0.5"/>
    <n v="0.5"/>
    <x v="2"/>
    <n v="6.5"/>
    <n v="5"/>
    <n v="7"/>
    <n v="18.5"/>
  </r>
  <r>
    <n v="8"/>
    <s v="A-TT-3"/>
    <s v="Trí"/>
    <s v="Nam"/>
    <n v="2003"/>
    <n v="0.3"/>
    <n v="0.25"/>
    <x v="1"/>
    <n v="8"/>
    <n v="9"/>
    <n v="7"/>
    <n v="24"/>
  </r>
  <r>
    <n v="9"/>
    <s v="C-TT-2"/>
    <s v="Trang"/>
    <s v="Nữ"/>
    <n v="2006"/>
    <n v="0.4"/>
    <n v="0.2"/>
    <x v="1"/>
    <n v="6"/>
    <n v="5"/>
    <n v="6.5"/>
    <n v="17.5"/>
  </r>
  <r>
    <n v="10"/>
    <s v="D-TT-3"/>
    <s v="Hải"/>
    <s v="Nam"/>
    <n v="2005"/>
    <n v="0.6"/>
    <n v="0.2"/>
    <x v="1"/>
    <n v="3"/>
    <n v="3.5"/>
    <n v="2"/>
    <n v="8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5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numFmtId="43" showAll="0"/>
  </pivotFields>
  <rowItems count="1">
    <i/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Điểm tổng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tabSelected="1" topLeftCell="A6" workbookViewId="0">
      <selection activeCell="Q22" sqref="Q22"/>
    </sheetView>
  </sheetViews>
  <sheetFormatPr defaultColWidth="8.90625" defaultRowHeight="18" x14ac:dyDescent="0.4"/>
  <cols>
    <col min="1" max="1" width="6" style="1" customWidth="1"/>
    <col min="2" max="2" width="9.36328125" style="1" customWidth="1"/>
    <col min="3" max="5" width="8.90625" style="1"/>
    <col min="6" max="6" width="11.36328125" style="1" customWidth="1"/>
    <col min="7" max="7" width="8.90625" style="1"/>
    <col min="8" max="8" width="12" style="1" bestFit="1" customWidth="1"/>
    <col min="9" max="9" width="8.90625" style="1"/>
    <col min="10" max="10" width="10.90625" style="1" customWidth="1"/>
    <col min="11" max="11" width="10.26953125" style="1" customWidth="1"/>
    <col min="12" max="12" width="9.54296875" style="1" bestFit="1" customWidth="1"/>
    <col min="13" max="13" width="8.90625" style="1"/>
    <col min="14" max="14" width="12.08984375" style="1" bestFit="1" customWidth="1"/>
    <col min="15" max="15" width="9.54296875" style="1" bestFit="1" customWidth="1"/>
    <col min="16" max="17" width="12.08984375" style="1" bestFit="1" customWidth="1"/>
    <col min="18" max="18" width="11.453125" style="1" bestFit="1" customWidth="1"/>
    <col min="19" max="16384" width="8.90625" style="1"/>
  </cols>
  <sheetData>
    <row r="2" spans="1:18" x14ac:dyDescent="0.4">
      <c r="A2" s="18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7"/>
      <c r="N2" s="17"/>
      <c r="O2" s="17"/>
    </row>
    <row r="3" spans="1:18" x14ac:dyDescent="0.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7"/>
      <c r="N3" s="17"/>
      <c r="O3" s="17"/>
    </row>
    <row r="4" spans="1:18" ht="34.75" customHeight="1" x14ac:dyDescent="0.4">
      <c r="A4" s="21" t="s">
        <v>0</v>
      </c>
      <c r="B4" s="21" t="s">
        <v>42</v>
      </c>
      <c r="C4" s="21" t="s">
        <v>1</v>
      </c>
      <c r="D4" s="21" t="s">
        <v>2</v>
      </c>
      <c r="E4" s="21" t="s">
        <v>3</v>
      </c>
      <c r="F4" s="21" t="s">
        <v>49</v>
      </c>
      <c r="G4" s="21" t="s">
        <v>18</v>
      </c>
      <c r="H4" s="21" t="s">
        <v>40</v>
      </c>
      <c r="I4" s="21" t="s">
        <v>19</v>
      </c>
      <c r="J4" s="21" t="s">
        <v>20</v>
      </c>
      <c r="K4" s="21" t="s">
        <v>21</v>
      </c>
      <c r="L4" s="21" t="s">
        <v>41</v>
      </c>
      <c r="M4" s="15"/>
      <c r="N4" s="14"/>
      <c r="O4" s="14"/>
    </row>
    <row r="5" spans="1:18" x14ac:dyDescent="0.4">
      <c r="A5" s="2">
        <v>1</v>
      </c>
      <c r="B5" s="3" t="s">
        <v>22</v>
      </c>
      <c r="C5" s="3" t="s">
        <v>4</v>
      </c>
      <c r="D5" s="3" t="s">
        <v>5</v>
      </c>
      <c r="E5" s="2">
        <v>2006</v>
      </c>
      <c r="F5" s="3">
        <f>INDEX($C$19:$E$22,MATCH(LEFT(B5),$B$19:$B$22,0),MATCH(VALUE(RIGHT(B5)),$C$18:$E$18,0))</f>
        <v>0.1</v>
      </c>
      <c r="G5" s="3">
        <f ca="1">VLOOKUP(MID(B5,3,2),$G$20:$K$22,IF(YEAR(TODAY())-E5&gt;=22,5,IF(YEAR(TODAY())-E5&gt;=20,4,3)),0)</f>
        <v>0.5</v>
      </c>
      <c r="H5" s="3" t="str">
        <f>VLOOKUP(MID(B5,3,2),$G$20:$H$22,2,0)</f>
        <v>Nông thôn</v>
      </c>
      <c r="I5" s="3">
        <v>5.5</v>
      </c>
      <c r="J5" s="3">
        <v>6.5</v>
      </c>
      <c r="K5" s="3">
        <v>5</v>
      </c>
      <c r="L5" s="20">
        <f>SUM(I5:K5)</f>
        <v>17</v>
      </c>
      <c r="M5" s="16"/>
    </row>
    <row r="6" spans="1:18" x14ac:dyDescent="0.4">
      <c r="A6" s="4">
        <v>2</v>
      </c>
      <c r="B6" s="5" t="s">
        <v>23</v>
      </c>
      <c r="C6" s="5" t="s">
        <v>6</v>
      </c>
      <c r="D6" s="5" t="s">
        <v>7</v>
      </c>
      <c r="E6" s="4">
        <v>2005</v>
      </c>
      <c r="F6" s="3">
        <f t="shared" ref="F6:F14" si="0">INDEX($C$19:$E$22,MATCH(LEFT(B6),$B$19:$B$22,0),MATCH(VALUE(RIGHT(B6)),$C$18:$E$18,0))</f>
        <v>0.3</v>
      </c>
      <c r="G6" s="3">
        <f t="shared" ref="G6:G14" ca="1" si="1">VLOOKUP(MID(B6,3,2),$G$20:$K$22,IF(YEAR(TODAY())-E6&gt;=22,5,IF(YEAR(TODAY())-E6&gt;=20,4,3)),0)</f>
        <v>0.5</v>
      </c>
      <c r="H6" s="3" t="str">
        <f t="shared" ref="H6:H14" si="2">VLOOKUP(MID(B6,3,2),$G$20:$H$22,2,0)</f>
        <v>Nông thôn</v>
      </c>
      <c r="I6" s="5">
        <v>8</v>
      </c>
      <c r="J6" s="5">
        <v>6.5</v>
      </c>
      <c r="K6" s="5">
        <v>6</v>
      </c>
      <c r="L6" s="20">
        <f t="shared" ref="L6:L14" si="3">SUM(I6:K6)</f>
        <v>20.5</v>
      </c>
      <c r="M6" s="16"/>
    </row>
    <row r="7" spans="1:18" x14ac:dyDescent="0.4">
      <c r="A7" s="4">
        <v>3</v>
      </c>
      <c r="B7" s="5" t="s">
        <v>24</v>
      </c>
      <c r="C7" s="5" t="s">
        <v>8</v>
      </c>
      <c r="D7" s="5" t="s">
        <v>5</v>
      </c>
      <c r="E7" s="4">
        <v>2008</v>
      </c>
      <c r="F7" s="3">
        <f t="shared" si="0"/>
        <v>0.3</v>
      </c>
      <c r="G7" s="3">
        <f t="shared" ca="1" si="1"/>
        <v>0.1</v>
      </c>
      <c r="H7" s="3" t="str">
        <f t="shared" si="2"/>
        <v>Thành thị</v>
      </c>
      <c r="I7" s="5">
        <v>9</v>
      </c>
      <c r="J7" s="5">
        <v>8</v>
      </c>
      <c r="K7" s="5">
        <v>8.5</v>
      </c>
      <c r="L7" s="20">
        <f t="shared" si="3"/>
        <v>25.5</v>
      </c>
      <c r="M7" s="16"/>
    </row>
    <row r="8" spans="1:18" x14ac:dyDescent="0.4">
      <c r="A8" s="4">
        <v>4</v>
      </c>
      <c r="B8" s="5" t="s">
        <v>25</v>
      </c>
      <c r="C8" s="5" t="s">
        <v>9</v>
      </c>
      <c r="D8" s="5" t="s">
        <v>7</v>
      </c>
      <c r="E8" s="4">
        <v>2005</v>
      </c>
      <c r="F8" s="3">
        <f t="shared" si="0"/>
        <v>0.4</v>
      </c>
      <c r="G8" s="3">
        <f t="shared" ca="1" si="1"/>
        <v>0.5</v>
      </c>
      <c r="H8" s="3" t="str">
        <f t="shared" si="2"/>
        <v>Hải đảo</v>
      </c>
      <c r="I8" s="5">
        <v>7</v>
      </c>
      <c r="J8" s="5">
        <v>6.5</v>
      </c>
      <c r="K8" s="5">
        <v>6</v>
      </c>
      <c r="L8" s="20">
        <f t="shared" si="3"/>
        <v>19.5</v>
      </c>
      <c r="M8" s="16"/>
    </row>
    <row r="9" spans="1:18" x14ac:dyDescent="0.4">
      <c r="A9" s="4">
        <v>5</v>
      </c>
      <c r="B9" s="5" t="s">
        <v>37</v>
      </c>
      <c r="C9" s="5" t="s">
        <v>9</v>
      </c>
      <c r="D9" s="5" t="s">
        <v>5</v>
      </c>
      <c r="E9" s="4">
        <v>2006</v>
      </c>
      <c r="F9" s="3">
        <f t="shared" si="0"/>
        <v>0.2</v>
      </c>
      <c r="G9" s="3">
        <f t="shared" ca="1" si="1"/>
        <v>0.5</v>
      </c>
      <c r="H9" s="3" t="str">
        <f t="shared" si="2"/>
        <v>Hải đảo</v>
      </c>
      <c r="I9" s="5">
        <v>8</v>
      </c>
      <c r="J9" s="5">
        <v>6.5</v>
      </c>
      <c r="K9" s="5">
        <v>8</v>
      </c>
      <c r="L9" s="20">
        <f t="shared" si="3"/>
        <v>22.5</v>
      </c>
      <c r="M9" s="16"/>
    </row>
    <row r="10" spans="1:18" x14ac:dyDescent="0.4">
      <c r="A10" s="4">
        <v>6</v>
      </c>
      <c r="B10" s="5" t="s">
        <v>38</v>
      </c>
      <c r="C10" s="5" t="s">
        <v>6</v>
      </c>
      <c r="D10" s="5" t="s">
        <v>5</v>
      </c>
      <c r="E10" s="4">
        <v>2004</v>
      </c>
      <c r="F10" s="3">
        <f t="shared" si="0"/>
        <v>0.3</v>
      </c>
      <c r="G10" s="3">
        <f t="shared" ca="1" si="1"/>
        <v>0.75</v>
      </c>
      <c r="H10" s="3" t="str">
        <f t="shared" si="2"/>
        <v>Nông thôn</v>
      </c>
      <c r="I10" s="5">
        <v>4</v>
      </c>
      <c r="J10" s="5">
        <v>6</v>
      </c>
      <c r="K10" s="5">
        <v>5.5</v>
      </c>
      <c r="L10" s="20">
        <f t="shared" si="3"/>
        <v>15.5</v>
      </c>
      <c r="M10" s="16"/>
    </row>
    <row r="11" spans="1:18" x14ac:dyDescent="0.4">
      <c r="A11" s="4">
        <v>7</v>
      </c>
      <c r="B11" s="5" t="s">
        <v>39</v>
      </c>
      <c r="C11" s="5" t="s">
        <v>10</v>
      </c>
      <c r="D11" s="5" t="s">
        <v>7</v>
      </c>
      <c r="E11" s="4">
        <v>2005</v>
      </c>
      <c r="F11" s="3">
        <f t="shared" si="0"/>
        <v>0.5</v>
      </c>
      <c r="G11" s="3">
        <f t="shared" ca="1" si="1"/>
        <v>0.5</v>
      </c>
      <c r="H11" s="3" t="str">
        <f t="shared" si="2"/>
        <v>Hải đảo</v>
      </c>
      <c r="I11" s="5">
        <v>6.5</v>
      </c>
      <c r="J11" s="5">
        <v>5</v>
      </c>
      <c r="K11" s="5">
        <v>7</v>
      </c>
      <c r="L11" s="20">
        <f t="shared" si="3"/>
        <v>18.5</v>
      </c>
      <c r="M11" s="16"/>
    </row>
    <row r="12" spans="1:18" x14ac:dyDescent="0.4">
      <c r="A12" s="4">
        <v>8</v>
      </c>
      <c r="B12" s="5" t="s">
        <v>34</v>
      </c>
      <c r="C12" s="5" t="s">
        <v>4</v>
      </c>
      <c r="D12" s="5" t="s">
        <v>5</v>
      </c>
      <c r="E12" s="4">
        <v>2003</v>
      </c>
      <c r="F12" s="3">
        <f t="shared" si="0"/>
        <v>0.3</v>
      </c>
      <c r="G12" s="3">
        <f t="shared" ca="1" si="1"/>
        <v>0.25</v>
      </c>
      <c r="H12" s="3" t="str">
        <f t="shared" si="2"/>
        <v>Thành thị</v>
      </c>
      <c r="I12" s="5">
        <v>8</v>
      </c>
      <c r="J12" s="5">
        <v>9</v>
      </c>
      <c r="K12" s="5">
        <v>7</v>
      </c>
      <c r="L12" s="20">
        <f t="shared" si="3"/>
        <v>24</v>
      </c>
      <c r="M12" s="16"/>
    </row>
    <row r="13" spans="1:18" x14ac:dyDescent="0.4">
      <c r="A13" s="4">
        <v>9</v>
      </c>
      <c r="B13" s="5" t="s">
        <v>35</v>
      </c>
      <c r="C13" s="5" t="s">
        <v>11</v>
      </c>
      <c r="D13" s="5" t="s">
        <v>7</v>
      </c>
      <c r="E13" s="4">
        <v>2006</v>
      </c>
      <c r="F13" s="3">
        <f t="shared" si="0"/>
        <v>0.4</v>
      </c>
      <c r="G13" s="3">
        <f t="shared" ca="1" si="1"/>
        <v>0.2</v>
      </c>
      <c r="H13" s="3" t="str">
        <f t="shared" si="2"/>
        <v>Thành thị</v>
      </c>
      <c r="I13" s="5">
        <v>6</v>
      </c>
      <c r="J13" s="5">
        <v>5</v>
      </c>
      <c r="K13" s="5">
        <v>6.5</v>
      </c>
      <c r="L13" s="20">
        <f t="shared" si="3"/>
        <v>17.5</v>
      </c>
      <c r="M13" s="16"/>
    </row>
    <row r="14" spans="1:18" x14ac:dyDescent="0.4">
      <c r="A14" s="6">
        <v>10</v>
      </c>
      <c r="B14" s="7" t="s">
        <v>36</v>
      </c>
      <c r="C14" s="7" t="s">
        <v>6</v>
      </c>
      <c r="D14" s="7" t="s">
        <v>5</v>
      </c>
      <c r="E14" s="6">
        <v>2005</v>
      </c>
      <c r="F14" s="3">
        <f t="shared" si="0"/>
        <v>0.6</v>
      </c>
      <c r="G14" s="3">
        <f t="shared" ca="1" si="1"/>
        <v>0.2</v>
      </c>
      <c r="H14" s="3" t="str">
        <f t="shared" si="2"/>
        <v>Thành thị</v>
      </c>
      <c r="I14" s="7">
        <v>3</v>
      </c>
      <c r="J14" s="7">
        <v>3.5</v>
      </c>
      <c r="K14" s="7">
        <v>2</v>
      </c>
      <c r="L14" s="20">
        <f t="shared" si="3"/>
        <v>8.5</v>
      </c>
      <c r="M14" s="16"/>
      <c r="N14" s="19"/>
    </row>
    <row r="15" spans="1:18" x14ac:dyDescent="0.4">
      <c r="F15" s="8"/>
    </row>
    <row r="16" spans="1:18" ht="18" customHeight="1" x14ac:dyDescent="0.4">
      <c r="B16" s="25" t="s">
        <v>17</v>
      </c>
      <c r="C16" s="26"/>
      <c r="D16" s="26"/>
      <c r="E16" s="27"/>
      <c r="F16" s="9"/>
      <c r="G16" s="10"/>
      <c r="H16" s="10"/>
      <c r="N16" s="17" t="s">
        <v>51</v>
      </c>
      <c r="O16" s="21" t="s">
        <v>42</v>
      </c>
      <c r="P16" s="21" t="s">
        <v>3</v>
      </c>
      <c r="Q16" s="21" t="s">
        <v>42</v>
      </c>
      <c r="R16" s="21" t="s">
        <v>3</v>
      </c>
    </row>
    <row r="17" spans="2:18" ht="18.649999999999999" customHeight="1" thickBot="1" x14ac:dyDescent="0.45">
      <c r="B17" s="29" t="s">
        <v>43</v>
      </c>
      <c r="C17" s="31" t="s">
        <v>12</v>
      </c>
      <c r="D17" s="31"/>
      <c r="E17" s="31"/>
      <c r="F17" s="9"/>
      <c r="G17" s="28" t="s">
        <v>18</v>
      </c>
      <c r="H17" s="28"/>
      <c r="I17" s="28"/>
      <c r="J17" s="28"/>
      <c r="K17" s="28"/>
      <c r="O17" s="1" t="s">
        <v>52</v>
      </c>
      <c r="P17" s="1" t="s">
        <v>53</v>
      </c>
    </row>
    <row r="18" spans="2:18" ht="18.5" thickBot="1" x14ac:dyDescent="0.45">
      <c r="B18" s="30"/>
      <c r="C18" s="11">
        <v>1</v>
      </c>
      <c r="D18" s="11">
        <v>2</v>
      </c>
      <c r="E18" s="11">
        <v>3</v>
      </c>
      <c r="F18" s="10"/>
      <c r="G18" s="29" t="s">
        <v>32</v>
      </c>
      <c r="H18" s="29" t="s">
        <v>33</v>
      </c>
      <c r="I18" s="33" t="s">
        <v>26</v>
      </c>
      <c r="J18" s="34"/>
      <c r="K18" s="35"/>
      <c r="P18" s="19"/>
      <c r="Q18" s="1" t="s">
        <v>54</v>
      </c>
      <c r="R18" s="1" t="s">
        <v>53</v>
      </c>
    </row>
    <row r="19" spans="2:18" x14ac:dyDescent="0.4">
      <c r="B19" s="13" t="s">
        <v>13</v>
      </c>
      <c r="C19" s="13">
        <v>0.1</v>
      </c>
      <c r="D19" s="13">
        <v>0.2</v>
      </c>
      <c r="E19" s="13">
        <v>0.3</v>
      </c>
      <c r="G19" s="32"/>
      <c r="H19" s="32"/>
      <c r="I19" s="12" t="s">
        <v>48</v>
      </c>
      <c r="J19" s="12" t="s">
        <v>47</v>
      </c>
      <c r="K19" s="12" t="s">
        <v>46</v>
      </c>
    </row>
    <row r="20" spans="2:18" x14ac:dyDescent="0.4">
      <c r="B20" s="5" t="s">
        <v>14</v>
      </c>
      <c r="C20" s="5">
        <v>0.2</v>
      </c>
      <c r="D20" s="5">
        <v>0.3</v>
      </c>
      <c r="E20" s="5">
        <v>0.4</v>
      </c>
      <c r="G20" s="3" t="s">
        <v>27</v>
      </c>
      <c r="H20" s="3" t="s">
        <v>30</v>
      </c>
      <c r="I20" s="3">
        <v>0.25</v>
      </c>
      <c r="J20" s="3">
        <v>0.5</v>
      </c>
      <c r="K20" s="3">
        <v>0.75</v>
      </c>
      <c r="N20" s="1" t="s">
        <v>58</v>
      </c>
      <c r="O20" s="17">
        <f>DSUM(A4:L14,L4,O16:R18)</f>
        <v>105.5</v>
      </c>
      <c r="P20" s="22"/>
    </row>
    <row r="21" spans="2:18" x14ac:dyDescent="0.4">
      <c r="B21" s="5" t="s">
        <v>15</v>
      </c>
      <c r="C21" s="5">
        <v>0.3</v>
      </c>
      <c r="D21" s="5">
        <v>0.4</v>
      </c>
      <c r="E21" s="5">
        <v>0.5</v>
      </c>
      <c r="G21" s="5" t="s">
        <v>28</v>
      </c>
      <c r="H21" s="5" t="s">
        <v>44</v>
      </c>
      <c r="I21" s="5">
        <v>0.1</v>
      </c>
      <c r="J21" s="5">
        <v>0.2</v>
      </c>
      <c r="K21" s="5">
        <v>0.25</v>
      </c>
      <c r="L21" s="16"/>
    </row>
    <row r="22" spans="2:18" x14ac:dyDescent="0.4">
      <c r="B22" s="7" t="s">
        <v>16</v>
      </c>
      <c r="C22" s="7">
        <v>0.4</v>
      </c>
      <c r="D22" s="7">
        <v>0.5</v>
      </c>
      <c r="E22" s="7">
        <v>0.6</v>
      </c>
      <c r="G22" s="7" t="s">
        <v>29</v>
      </c>
      <c r="H22" s="7" t="s">
        <v>31</v>
      </c>
      <c r="I22" s="7">
        <v>0.25</v>
      </c>
      <c r="J22" s="7">
        <v>0.5</v>
      </c>
      <c r="K22" s="7">
        <v>0.75</v>
      </c>
    </row>
  </sheetData>
  <mergeCells count="7">
    <mergeCell ref="B16:E16"/>
    <mergeCell ref="G17:K17"/>
    <mergeCell ref="B17:B18"/>
    <mergeCell ref="C17:E17"/>
    <mergeCell ref="G18:G19"/>
    <mergeCell ref="H18:H19"/>
    <mergeCell ref="I18:K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"/>
  <sheetViews>
    <sheetView workbookViewId="0">
      <selection activeCell="L14" sqref="L14"/>
    </sheetView>
  </sheetViews>
  <sheetFormatPr defaultRowHeight="14.5" x14ac:dyDescent="0.35"/>
  <cols>
    <col min="12" max="12" width="11" bestFit="1" customWidth="1"/>
  </cols>
  <sheetData>
    <row r="2" spans="2:16" ht="52.5" x14ac:dyDescent="0.35">
      <c r="B2" s="21" t="s">
        <v>40</v>
      </c>
      <c r="C2" s="21" t="s">
        <v>41</v>
      </c>
      <c r="E2" s="21" t="s">
        <v>0</v>
      </c>
      <c r="F2" s="21" t="s">
        <v>42</v>
      </c>
      <c r="G2" s="21" t="s">
        <v>1</v>
      </c>
      <c r="H2" s="21" t="s">
        <v>2</v>
      </c>
      <c r="I2" s="21" t="s">
        <v>3</v>
      </c>
      <c r="J2" s="21" t="s">
        <v>49</v>
      </c>
      <c r="K2" s="21" t="s">
        <v>18</v>
      </c>
      <c r="L2" s="21" t="s">
        <v>40</v>
      </c>
      <c r="M2" s="21" t="s">
        <v>19</v>
      </c>
      <c r="N2" s="21" t="s">
        <v>20</v>
      </c>
      <c r="O2" s="21" t="s">
        <v>21</v>
      </c>
      <c r="P2" s="21" t="s">
        <v>41</v>
      </c>
    </row>
    <row r="3" spans="2:16" ht="18" x14ac:dyDescent="0.4">
      <c r="B3" t="s">
        <v>44</v>
      </c>
      <c r="C3" t="s">
        <v>50</v>
      </c>
      <c r="E3" s="4">
        <v>3</v>
      </c>
      <c r="F3" s="5" t="s">
        <v>24</v>
      </c>
      <c r="G3" s="5" t="s">
        <v>8</v>
      </c>
      <c r="H3" s="5" t="s">
        <v>5</v>
      </c>
      <c r="I3" s="4">
        <v>2008</v>
      </c>
      <c r="J3" s="3">
        <v>0.3</v>
      </c>
      <c r="K3" s="3">
        <v>0.1</v>
      </c>
      <c r="L3" s="3" t="s">
        <v>44</v>
      </c>
      <c r="M3" s="5">
        <v>9</v>
      </c>
      <c r="N3" s="5">
        <v>8</v>
      </c>
      <c r="O3" s="5">
        <v>8.5</v>
      </c>
      <c r="P3" s="20">
        <v>25.5</v>
      </c>
    </row>
    <row r="4" spans="2:16" ht="18" x14ac:dyDescent="0.4">
      <c r="E4" s="4">
        <v>8</v>
      </c>
      <c r="F4" s="5" t="s">
        <v>34</v>
      </c>
      <c r="G4" s="5" t="s">
        <v>4</v>
      </c>
      <c r="H4" s="5" t="s">
        <v>5</v>
      </c>
      <c r="I4" s="4">
        <v>2003</v>
      </c>
      <c r="J4" s="3">
        <v>0.3</v>
      </c>
      <c r="K4" s="3">
        <v>0.25</v>
      </c>
      <c r="L4" s="3" t="s">
        <v>44</v>
      </c>
      <c r="M4" s="5">
        <v>8</v>
      </c>
      <c r="N4" s="5">
        <v>9</v>
      </c>
      <c r="O4" s="5">
        <v>7</v>
      </c>
      <c r="P4" s="20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workbookViewId="0">
      <selection activeCell="D25" sqref="D25"/>
    </sheetView>
  </sheetViews>
  <sheetFormatPr defaultRowHeight="14.5" x14ac:dyDescent="0.35"/>
  <cols>
    <col min="1" max="1" width="16.36328125" bestFit="1" customWidth="1"/>
    <col min="2" max="2" width="15.54296875" bestFit="1" customWidth="1"/>
    <col min="3" max="3" width="10" bestFit="1" customWidth="1"/>
    <col min="4" max="4" width="9" bestFit="1" customWidth="1"/>
    <col min="5" max="5" width="10.81640625" bestFit="1" customWidth="1"/>
  </cols>
  <sheetData>
    <row r="3" spans="1:5" x14ac:dyDescent="0.35">
      <c r="B3" s="24" t="s">
        <v>57</v>
      </c>
    </row>
    <row r="4" spans="1:5" x14ac:dyDescent="0.35">
      <c r="B4" t="s">
        <v>31</v>
      </c>
      <c r="C4" t="s">
        <v>30</v>
      </c>
      <c r="D4" t="s">
        <v>44</v>
      </c>
      <c r="E4" t="s">
        <v>56</v>
      </c>
    </row>
    <row r="5" spans="1:5" x14ac:dyDescent="0.35">
      <c r="A5" t="s">
        <v>55</v>
      </c>
      <c r="B5" s="23">
        <v>60.5</v>
      </c>
      <c r="C5" s="23">
        <v>53</v>
      </c>
      <c r="D5" s="23">
        <v>75.5</v>
      </c>
      <c r="E5" s="23">
        <v>189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 1</vt:lpstr>
      <vt:lpstr>Câu 6</vt:lpstr>
      <vt:lpstr>Câu 8</vt:lpstr>
      <vt:lpstr>'Câu 6'!Criteria</vt:lpstr>
      <vt:lpstr>'Câu 6'!Extract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Khắc Huy</dc:creator>
  <cp:lastModifiedBy>PC</cp:lastModifiedBy>
  <dcterms:created xsi:type="dcterms:W3CDTF">2015-06-05T18:17:20Z</dcterms:created>
  <dcterms:modified xsi:type="dcterms:W3CDTF">2026-05-10T01:40:33Z</dcterms:modified>
</cp:coreProperties>
</file>