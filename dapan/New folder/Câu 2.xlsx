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AAA4A9AB-94C4-4390-845B-76623525EB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1" l="1"/>
  <c r="F5" i="1"/>
  <c r="F6" i="1"/>
  <c r="F7" i="1"/>
  <c r="F8" i="1"/>
  <c r="F9" i="1"/>
  <c r="F10" i="1"/>
  <c r="F11" i="1"/>
  <c r="F4" i="1"/>
  <c r="H5" i="1" l="1"/>
  <c r="H6" i="1"/>
  <c r="H7" i="1"/>
  <c r="H8" i="1"/>
  <c r="H9" i="1"/>
  <c r="H10" i="1"/>
  <c r="H11" i="1"/>
  <c r="H4" i="1"/>
  <c r="C5" i="1" l="1"/>
  <c r="C6" i="1"/>
  <c r="C7" i="1"/>
  <c r="C8" i="1"/>
  <c r="C9" i="1"/>
  <c r="C10" i="1"/>
  <c r="C11" i="1"/>
</calcChain>
</file>

<file path=xl/sharedStrings.xml><?xml version="1.0" encoding="utf-8"?>
<sst xmlns="http://schemas.openxmlformats.org/spreadsheetml/2006/main" count="36" uniqueCount="27">
  <si>
    <t>BẢNG NHẬP XUẤT HÀNG HÓA QUÍ II/ 2025</t>
  </si>
  <si>
    <t>TT</t>
  </si>
  <si>
    <t>Mã hàng</t>
  </si>
  <si>
    <t>Tên hàng</t>
  </si>
  <si>
    <t>Đơn vị</t>
  </si>
  <si>
    <t>Số lượng</t>
  </si>
  <si>
    <t>Đơn giá</t>
  </si>
  <si>
    <t>Thuế</t>
  </si>
  <si>
    <t>Thành tiền</t>
  </si>
  <si>
    <t>kg</t>
  </si>
  <si>
    <t>Bảng phụ</t>
  </si>
  <si>
    <t>DBH</t>
  </si>
  <si>
    <t>Đường Biên Hòa</t>
  </si>
  <si>
    <t>DQN</t>
  </si>
  <si>
    <t>GTL</t>
  </si>
  <si>
    <t>Gạo Thái Lan</t>
  </si>
  <si>
    <t>GNT</t>
  </si>
  <si>
    <t>Gạo Nếp Thơm</t>
  </si>
  <si>
    <t>DBH01</t>
  </si>
  <si>
    <t>DBH03</t>
  </si>
  <si>
    <t>DBH05</t>
  </si>
  <si>
    <t>GTL02</t>
  </si>
  <si>
    <t>GTL01</t>
  </si>
  <si>
    <t>DQN01</t>
  </si>
  <si>
    <t>DQN04</t>
  </si>
  <si>
    <t>GNT02</t>
  </si>
  <si>
    <t>Đường Quảng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</si>
</sst>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\ #,##0[$VND]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color rgb="FF9C6500"/>
      <name val="Times New Roman"/>
      <family val="1"/>
    </font>
    <font>
      <sz val="14"/>
      <color rgb="FF006100"/>
      <name val="Times New Roman"/>
      <family val="1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43" fontId="8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0" xfId="0" applyFont="1" applyAlignment="1">
      <alignment horizontal="center" vertical="center"/>
    </xf>
    <xf numFmtId="0" fontId="6" fillId="3" borderId="1" xfId="2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 vertical="center"/>
    </xf>
    <xf numFmtId="165" fontId="3" fillId="0" borderId="1" xfId="3" applyNumberFormat="1" applyFont="1" applyBorder="1" applyAlignment="1">
      <alignment horizontal="right" vertical="center"/>
    </xf>
    <xf numFmtId="0" fontId="3" fillId="0" borderId="0" xfId="0" applyFont="1" applyAlignment="1">
      <alignment horizontal="right"/>
    </xf>
    <xf numFmtId="0" fontId="4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7" fillId="6" borderId="1" xfId="1" applyFont="1" applyFill="1" applyBorder="1"/>
    <xf numFmtId="164" fontId="7" fillId="6" borderId="1" xfId="1" applyNumberFormat="1" applyFont="1" applyFill="1" applyBorder="1" applyAlignment="1">
      <alignment horizontal="right"/>
    </xf>
  </cellXfs>
  <cellStyles count="4">
    <cellStyle name="Comma" xfId="3" builtinId="3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O9" sqref="O9"/>
    </sheetView>
  </sheetViews>
  <sheetFormatPr defaultColWidth="8.88671875" defaultRowHeight="18" x14ac:dyDescent="0.35"/>
  <cols>
    <col min="1" max="2" width="8.88671875" style="1"/>
    <col min="3" max="3" width="21.5546875" style="4" bestFit="1" customWidth="1"/>
    <col min="4" max="4" width="10.88671875" style="1" customWidth="1"/>
    <col min="5" max="5" width="21.44140625" style="1" customWidth="1"/>
    <col min="6" max="6" width="9.44140625" style="1" customWidth="1"/>
    <col min="7" max="7" width="13" style="1" customWidth="1"/>
    <col min="8" max="8" width="19.5546875" style="1" bestFit="1" customWidth="1"/>
    <col min="9" max="9" width="10.5546875" style="1" customWidth="1"/>
    <col min="10" max="10" width="23" style="10" customWidth="1"/>
    <col min="11" max="13" width="8.88671875" style="1"/>
    <col min="14" max="14" width="14.5546875" style="1" customWidth="1"/>
    <col min="15" max="15" width="24.88671875" style="1" customWidth="1"/>
    <col min="16" max="16384" width="8.88671875" style="1"/>
  </cols>
  <sheetData>
    <row r="1" spans="1:8" x14ac:dyDescent="0.35">
      <c r="A1" s="13" t="s">
        <v>0</v>
      </c>
      <c r="B1" s="14"/>
      <c r="C1" s="14"/>
      <c r="D1" s="14"/>
      <c r="E1" s="14"/>
      <c r="F1" s="14"/>
      <c r="G1" s="14"/>
      <c r="H1" s="15"/>
    </row>
    <row r="3" spans="1:8" x14ac:dyDescent="0.35">
      <c r="A3" s="6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</row>
    <row r="4" spans="1:8" x14ac:dyDescent="0.35">
      <c r="A4" s="2">
        <v>1</v>
      </c>
      <c r="B4" s="3" t="s">
        <v>18</v>
      </c>
      <c r="C4" s="16" t="str">
        <f>VLOOKUP(LEFT(B4,3),$G$15:$H$19,2,0)</f>
        <v>Đường Biên Hòa</v>
      </c>
      <c r="D4" s="2" t="s">
        <v>9</v>
      </c>
      <c r="E4" s="2">
        <v>150</v>
      </c>
      <c r="F4" s="9">
        <f>IF(LEFT(B4,3)="DBH",45000,30000)</f>
        <v>45000</v>
      </c>
      <c r="G4" s="8">
        <v>85</v>
      </c>
      <c r="H4" s="17">
        <f>E4*F4+G4</f>
        <v>6750085</v>
      </c>
    </row>
    <row r="5" spans="1:8" x14ac:dyDescent="0.35">
      <c r="A5" s="2">
        <v>2</v>
      </c>
      <c r="B5" s="3" t="s">
        <v>21</v>
      </c>
      <c r="C5" s="16" t="str">
        <f>VLOOKUP(LEFT(B5,3),$G$15:$H$19,2,0)</f>
        <v>Gạo Thái Lan</v>
      </c>
      <c r="D5" s="2" t="s">
        <v>9</v>
      </c>
      <c r="E5" s="2">
        <v>700</v>
      </c>
      <c r="F5" s="9">
        <f t="shared" ref="F5:F11" si="0">IF(LEFT(B5,3)="DBH",45000,30000)</f>
        <v>30000</v>
      </c>
      <c r="G5" s="8">
        <v>106</v>
      </c>
      <c r="H5" s="17">
        <f t="shared" ref="H5:H11" si="1">E5*F5+G5</f>
        <v>21000106</v>
      </c>
    </row>
    <row r="6" spans="1:8" x14ac:dyDescent="0.35">
      <c r="A6" s="2">
        <v>3</v>
      </c>
      <c r="B6" s="3" t="s">
        <v>19</v>
      </c>
      <c r="C6" s="16" t="str">
        <f>VLOOKUP(LEFT(B6,3),$G$15:$H$19,2,0)</f>
        <v>Đường Biên Hòa</v>
      </c>
      <c r="D6" s="2" t="s">
        <v>9</v>
      </c>
      <c r="E6" s="2">
        <v>500</v>
      </c>
      <c r="F6" s="9">
        <f t="shared" si="0"/>
        <v>45000</v>
      </c>
      <c r="G6" s="8">
        <v>231</v>
      </c>
      <c r="H6" s="17">
        <f t="shared" si="1"/>
        <v>22500231</v>
      </c>
    </row>
    <row r="7" spans="1:8" x14ac:dyDescent="0.35">
      <c r="A7" s="2">
        <v>4</v>
      </c>
      <c r="B7" s="3" t="s">
        <v>22</v>
      </c>
      <c r="C7" s="16" t="str">
        <f>VLOOKUP(LEFT(B7,3),$G$15:$H$19,2,0)</f>
        <v>Gạo Thái Lan</v>
      </c>
      <c r="D7" s="2" t="s">
        <v>9</v>
      </c>
      <c r="E7" s="2">
        <v>1250</v>
      </c>
      <c r="F7" s="9">
        <f t="shared" si="0"/>
        <v>30000</v>
      </c>
      <c r="G7" s="8">
        <v>33</v>
      </c>
      <c r="H7" s="17">
        <f t="shared" si="1"/>
        <v>37500033</v>
      </c>
    </row>
    <row r="8" spans="1:8" x14ac:dyDescent="0.35">
      <c r="A8" s="2">
        <v>5</v>
      </c>
      <c r="B8" s="3" t="s">
        <v>23</v>
      </c>
      <c r="C8" s="16" t="str">
        <f>VLOOKUP(LEFT(B8,3),$G$15:$H$19,2,0)</f>
        <v>Đường Quảng Nam</v>
      </c>
      <c r="D8" s="2" t="s">
        <v>9</v>
      </c>
      <c r="E8" s="2">
        <v>975</v>
      </c>
      <c r="F8" s="9">
        <f t="shared" si="0"/>
        <v>30000</v>
      </c>
      <c r="G8" s="8">
        <v>72</v>
      </c>
      <c r="H8" s="17">
        <f t="shared" si="1"/>
        <v>29250072</v>
      </c>
    </row>
    <row r="9" spans="1:8" x14ac:dyDescent="0.35">
      <c r="A9" s="2">
        <v>6</v>
      </c>
      <c r="B9" s="3" t="s">
        <v>25</v>
      </c>
      <c r="C9" s="16" t="str">
        <f>VLOOKUP(LEFT(B9,3),$G$15:$H$19,2,0)</f>
        <v>Gạo Nếp Thơm</v>
      </c>
      <c r="D9" s="2" t="s">
        <v>9</v>
      </c>
      <c r="E9" s="2">
        <v>380</v>
      </c>
      <c r="F9" s="9">
        <f t="shared" si="0"/>
        <v>30000</v>
      </c>
      <c r="G9" s="8">
        <v>341</v>
      </c>
      <c r="H9" s="17">
        <f t="shared" si="1"/>
        <v>11400341</v>
      </c>
    </row>
    <row r="10" spans="1:8" x14ac:dyDescent="0.35">
      <c r="A10" s="2">
        <v>7</v>
      </c>
      <c r="B10" s="3" t="s">
        <v>24</v>
      </c>
      <c r="C10" s="16" t="str">
        <f>VLOOKUP(LEFT(B10,3),$G$15:$H$19,2,0)</f>
        <v>Đường Quảng Nam</v>
      </c>
      <c r="D10" s="2" t="s">
        <v>9</v>
      </c>
      <c r="E10" s="2">
        <v>2375</v>
      </c>
      <c r="F10" s="9">
        <f t="shared" si="0"/>
        <v>30000</v>
      </c>
      <c r="G10" s="8">
        <v>76</v>
      </c>
      <c r="H10" s="17">
        <f t="shared" si="1"/>
        <v>71250076</v>
      </c>
    </row>
    <row r="11" spans="1:8" x14ac:dyDescent="0.35">
      <c r="A11" s="2">
        <v>8</v>
      </c>
      <c r="B11" s="3" t="s">
        <v>20</v>
      </c>
      <c r="C11" s="16" t="str">
        <f>VLOOKUP(LEFT(B11,3),$G$15:$H$19,2,0)</f>
        <v>Đường Biên Hòa</v>
      </c>
      <c r="D11" s="2" t="s">
        <v>9</v>
      </c>
      <c r="E11" s="2">
        <v>3000</v>
      </c>
      <c r="F11" s="9">
        <f t="shared" si="0"/>
        <v>45000</v>
      </c>
      <c r="G11" s="8">
        <v>247</v>
      </c>
      <c r="H11" s="17">
        <f t="shared" si="1"/>
        <v>135000247</v>
      </c>
    </row>
    <row r="14" spans="1:8" x14ac:dyDescent="0.35">
      <c r="G14" s="12" t="s">
        <v>10</v>
      </c>
      <c r="H14" s="12"/>
    </row>
    <row r="15" spans="1:8" x14ac:dyDescent="0.35">
      <c r="G15" s="5" t="s">
        <v>2</v>
      </c>
      <c r="H15" s="5" t="s">
        <v>3</v>
      </c>
    </row>
    <row r="16" spans="1:8" x14ac:dyDescent="0.35">
      <c r="G16" s="3" t="s">
        <v>11</v>
      </c>
      <c r="H16" s="7" t="s">
        <v>12</v>
      </c>
    </row>
    <row r="17" spans="7:8" x14ac:dyDescent="0.35">
      <c r="G17" s="3" t="s">
        <v>13</v>
      </c>
      <c r="H17" s="7" t="s">
        <v>26</v>
      </c>
    </row>
    <row r="18" spans="7:8" x14ac:dyDescent="0.35">
      <c r="G18" s="3" t="s">
        <v>14</v>
      </c>
      <c r="H18" s="7" t="s">
        <v>15</v>
      </c>
    </row>
    <row r="19" spans="7:8" x14ac:dyDescent="0.35">
      <c r="G19" s="3" t="s">
        <v>16</v>
      </c>
      <c r="H19" s="7" t="s">
        <v>17</v>
      </c>
    </row>
  </sheetData>
  <mergeCells count="2">
    <mergeCell ref="G14:H14"/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2026-03-08T00:46:36Z</dcterms:modified>
</cp:coreProperties>
</file>