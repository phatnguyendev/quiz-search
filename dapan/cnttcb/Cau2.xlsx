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New folder (7)\cb2310876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G10" i="1"/>
  <c r="D10" i="1"/>
  <c r="H9" i="1"/>
  <c r="G9" i="1"/>
  <c r="D9" i="1"/>
  <c r="H8" i="1"/>
  <c r="G8" i="1"/>
  <c r="D8" i="1"/>
  <c r="G7" i="1"/>
  <c r="H7" i="1" s="1"/>
  <c r="D7" i="1"/>
  <c r="H6" i="1"/>
  <c r="G6" i="1"/>
  <c r="D6" i="1"/>
  <c r="G5" i="1"/>
  <c r="H5" i="1" s="1"/>
  <c r="D5" i="1"/>
  <c r="G4" i="1"/>
  <c r="H4" i="1" s="1"/>
  <c r="D4" i="1"/>
</calcChain>
</file>

<file path=xl/sharedStrings.xml><?xml version="1.0" encoding="utf-8"?>
<sst xmlns="http://schemas.openxmlformats.org/spreadsheetml/2006/main" count="28" uniqueCount="28">
  <si>
    <t>STT</t>
  </si>
  <si>
    <t>Mã hàng</t>
  </si>
  <si>
    <t>Hãng SX</t>
  </si>
  <si>
    <t>Đơn Giá</t>
  </si>
  <si>
    <t>S Lượng(Lít)</t>
  </si>
  <si>
    <t>Thuế</t>
  </si>
  <si>
    <t>Thành tiền</t>
  </si>
  <si>
    <t>N4TCA</t>
  </si>
  <si>
    <t>N06MO</t>
  </si>
  <si>
    <t>N89BP</t>
  </si>
  <si>
    <t>D00BP</t>
  </si>
  <si>
    <t>D01ES</t>
  </si>
  <si>
    <t>D00TN</t>
  </si>
  <si>
    <t>X92SH</t>
  </si>
  <si>
    <t>Mã Hàng</t>
  </si>
  <si>
    <t>Tên hãng sản xuất</t>
  </si>
  <si>
    <t>BP</t>
  </si>
  <si>
    <t>British Petro</t>
  </si>
  <si>
    <t>ES</t>
  </si>
  <si>
    <t>Esso</t>
  </si>
  <si>
    <t>SH</t>
  </si>
  <si>
    <t>Shell</t>
  </si>
  <si>
    <t>CA</t>
  </si>
  <si>
    <t>Castrol</t>
  </si>
  <si>
    <t>MO</t>
  </si>
  <si>
    <t>Mobil</t>
  </si>
  <si>
    <t xml:space="preserve"> HÃNG SX</t>
  </si>
  <si>
    <t>THỐNG KÊ NHẬP NGUYÊN LIỆU 6 THÁNG ĐẦU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</si>
</sst>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\ [$VND]_-;\-* #,##0\ [$VND]_-;_-* &quot;-&quot;\ [$VND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2" fillId="0" borderId="5" xfId="0" applyFont="1" applyFill="1" applyBorder="1"/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1" fontId="2" fillId="0" borderId="14" xfId="1" applyNumberFormat="1" applyFont="1" applyFill="1" applyBorder="1"/>
    <xf numFmtId="3" fontId="2" fillId="0" borderId="14" xfId="1" applyNumberFormat="1" applyFont="1" applyFill="1" applyBorder="1" applyAlignment="1">
      <alignment horizontal="right"/>
    </xf>
    <xf numFmtId="164" fontId="2" fillId="0" borderId="15" xfId="1" applyNumberFormat="1" applyFont="1" applyFill="1" applyBorder="1"/>
    <xf numFmtId="0" fontId="2" fillId="0" borderId="16" xfId="0" applyFont="1" applyFill="1" applyBorder="1"/>
    <xf numFmtId="0" fontId="2" fillId="0" borderId="17" xfId="0" applyFont="1" applyFill="1" applyBorder="1"/>
    <xf numFmtId="1" fontId="2" fillId="0" borderId="17" xfId="1" applyNumberFormat="1" applyFont="1" applyFill="1" applyBorder="1"/>
    <xf numFmtId="3" fontId="2" fillId="0" borderId="17" xfId="1" applyNumberFormat="1" applyFont="1" applyFill="1" applyBorder="1" applyAlignment="1">
      <alignment horizontal="right"/>
    </xf>
    <xf numFmtId="164" fontId="2" fillId="0" borderId="18" xfId="1" applyNumberFormat="1" applyFont="1" applyFill="1" applyBorder="1"/>
    <xf numFmtId="0" fontId="2" fillId="0" borderId="19" xfId="0" applyFont="1" applyFill="1" applyBorder="1"/>
    <xf numFmtId="0" fontId="2" fillId="0" borderId="20" xfId="0" applyFont="1" applyFill="1" applyBorder="1"/>
    <xf numFmtId="1" fontId="2" fillId="0" borderId="20" xfId="1" applyNumberFormat="1" applyFont="1" applyFill="1" applyBorder="1"/>
    <xf numFmtId="3" fontId="2" fillId="0" borderId="20" xfId="1" applyNumberFormat="1" applyFont="1" applyFill="1" applyBorder="1" applyAlignment="1">
      <alignment horizontal="right"/>
    </xf>
    <xf numFmtId="164" fontId="2" fillId="0" borderId="2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K10" sqref="K10"/>
    </sheetView>
  </sheetViews>
  <sheetFormatPr defaultColWidth="9.1796875" defaultRowHeight="14" x14ac:dyDescent="0.3"/>
  <cols>
    <col min="1" max="1" width="5.26953125" style="1" customWidth="1"/>
    <col min="2" max="2" width="4.453125" style="1" bestFit="1" customWidth="1"/>
    <col min="3" max="3" width="8.453125" style="1" bestFit="1" customWidth="1"/>
    <col min="4" max="4" width="17.453125" style="1" customWidth="1"/>
    <col min="5" max="5" width="12.81640625" style="1" customWidth="1"/>
    <col min="6" max="6" width="13.1796875" style="1" customWidth="1"/>
    <col min="7" max="7" width="16.1796875" style="1" customWidth="1"/>
    <col min="8" max="8" width="19.54296875" style="1" customWidth="1"/>
    <col min="9" max="16384" width="9.1796875" style="1"/>
  </cols>
  <sheetData>
    <row r="1" spans="1:9" ht="20" x14ac:dyDescent="0.4">
      <c r="A1" s="2"/>
      <c r="B1" s="11" t="s">
        <v>27</v>
      </c>
      <c r="C1" s="11"/>
      <c r="D1" s="11"/>
      <c r="E1" s="11"/>
      <c r="F1" s="11"/>
      <c r="G1" s="11"/>
      <c r="H1" s="11"/>
      <c r="I1" s="3"/>
    </row>
    <row r="2" spans="1:9" ht="14.5" thickBot="1" x14ac:dyDescent="0.35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12"/>
      <c r="B3" s="13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5" t="s">
        <v>6</v>
      </c>
      <c r="I3" s="16"/>
    </row>
    <row r="4" spans="1:9" x14ac:dyDescent="0.3">
      <c r="A4" s="12"/>
      <c r="B4" s="19">
        <v>1</v>
      </c>
      <c r="C4" s="20" t="s">
        <v>7</v>
      </c>
      <c r="D4" s="20" t="str">
        <f>IF(RIGHT(C4,2)="TN","Trongnước",VLOOKUP(RIGHT(C4,2),$C$16:$D$20,2,0))</f>
        <v>Castrol</v>
      </c>
      <c r="E4" s="21">
        <v>8200</v>
      </c>
      <c r="F4" s="21">
        <v>15000</v>
      </c>
      <c r="G4" s="22">
        <f>IF(RIGHT(C4,2)="TN","Miễn thuế",F4*E4*10%)</f>
        <v>12300000</v>
      </c>
      <c r="H4" s="23">
        <f>IF(RIGHT(C4,2)="TN",F4*E4,E4*F4-G4)</f>
        <v>110700000</v>
      </c>
      <c r="I4" s="16"/>
    </row>
    <row r="5" spans="1:9" x14ac:dyDescent="0.3">
      <c r="A5" s="12"/>
      <c r="B5" s="24">
        <v>2</v>
      </c>
      <c r="C5" s="25" t="s">
        <v>8</v>
      </c>
      <c r="D5" s="25" t="str">
        <f t="shared" ref="D5:D10" si="0">IF(RIGHT(C5,2)="TN","Trongnước",VLOOKUP(RIGHT(C5,2),$C$16:$D$20,2,0))</f>
        <v>Mobil</v>
      </c>
      <c r="E5" s="26">
        <v>8200</v>
      </c>
      <c r="F5" s="26">
        <v>4000</v>
      </c>
      <c r="G5" s="27">
        <f t="shared" ref="G5:G10" si="1">IF(RIGHT(C5,2)="TN","Miễn thuế",F5*E5*10%)</f>
        <v>3280000</v>
      </c>
      <c r="H5" s="28">
        <f t="shared" ref="H5:H10" si="2">IF(RIGHT(C5,2)="TN",F5*E5,E5*F5-G5)</f>
        <v>29520000</v>
      </c>
      <c r="I5" s="16"/>
    </row>
    <row r="6" spans="1:9" x14ac:dyDescent="0.3">
      <c r="A6" s="12"/>
      <c r="B6" s="24">
        <v>3</v>
      </c>
      <c r="C6" s="25" t="s">
        <v>9</v>
      </c>
      <c r="D6" s="25" t="str">
        <f t="shared" si="0"/>
        <v>British Petro</v>
      </c>
      <c r="E6" s="26">
        <v>8200</v>
      </c>
      <c r="F6" s="26">
        <v>3500</v>
      </c>
      <c r="G6" s="27">
        <f t="shared" si="1"/>
        <v>2870000</v>
      </c>
      <c r="H6" s="28">
        <f t="shared" si="2"/>
        <v>25830000</v>
      </c>
      <c r="I6" s="16"/>
    </row>
    <row r="7" spans="1:9" x14ac:dyDescent="0.3">
      <c r="A7" s="12"/>
      <c r="B7" s="24">
        <v>4</v>
      </c>
      <c r="C7" s="25" t="s">
        <v>10</v>
      </c>
      <c r="D7" s="25" t="str">
        <f t="shared" si="0"/>
        <v>British Petro</v>
      </c>
      <c r="E7" s="26">
        <v>3500</v>
      </c>
      <c r="F7" s="26">
        <v>2000</v>
      </c>
      <c r="G7" s="27">
        <f t="shared" si="1"/>
        <v>700000</v>
      </c>
      <c r="H7" s="28">
        <f t="shared" si="2"/>
        <v>6300000</v>
      </c>
      <c r="I7" s="16"/>
    </row>
    <row r="8" spans="1:9" x14ac:dyDescent="0.3">
      <c r="A8" s="12"/>
      <c r="B8" s="24">
        <v>5</v>
      </c>
      <c r="C8" s="25" t="s">
        <v>11</v>
      </c>
      <c r="D8" s="25" t="str">
        <f t="shared" si="0"/>
        <v>Esso</v>
      </c>
      <c r="E8" s="26">
        <v>3500</v>
      </c>
      <c r="F8" s="26">
        <v>3000</v>
      </c>
      <c r="G8" s="27">
        <f t="shared" si="1"/>
        <v>1050000</v>
      </c>
      <c r="H8" s="28">
        <f t="shared" si="2"/>
        <v>9450000</v>
      </c>
      <c r="I8" s="16"/>
    </row>
    <row r="9" spans="1:9" x14ac:dyDescent="0.3">
      <c r="A9" s="12"/>
      <c r="B9" s="24">
        <v>6</v>
      </c>
      <c r="C9" s="25" t="s">
        <v>12</v>
      </c>
      <c r="D9" s="25" t="str">
        <f t="shared" si="0"/>
        <v>Trongnước</v>
      </c>
      <c r="E9" s="26">
        <v>3500</v>
      </c>
      <c r="F9" s="26">
        <v>2000</v>
      </c>
      <c r="G9" s="27" t="str">
        <f t="shared" si="1"/>
        <v>Miễn thuế</v>
      </c>
      <c r="H9" s="28">
        <f t="shared" si="2"/>
        <v>7000000</v>
      </c>
      <c r="I9" s="16"/>
    </row>
    <row r="10" spans="1:9" ht="14.5" thickBot="1" x14ac:dyDescent="0.35">
      <c r="A10" s="12"/>
      <c r="B10" s="29"/>
      <c r="C10" s="30" t="s">
        <v>13</v>
      </c>
      <c r="D10" s="30" t="str">
        <f t="shared" si="0"/>
        <v>Shell</v>
      </c>
      <c r="E10" s="31">
        <v>4500</v>
      </c>
      <c r="F10" s="31">
        <v>2500</v>
      </c>
      <c r="G10" s="32">
        <f t="shared" si="1"/>
        <v>1125000</v>
      </c>
      <c r="H10" s="33">
        <f t="shared" si="2"/>
        <v>10125000</v>
      </c>
      <c r="I10" s="16"/>
    </row>
    <row r="11" spans="1:9" x14ac:dyDescent="0.3">
      <c r="A11" s="12"/>
      <c r="B11" s="5"/>
      <c r="C11" s="5"/>
      <c r="D11" s="5"/>
      <c r="E11" s="5"/>
      <c r="F11" s="5"/>
      <c r="G11" s="5"/>
      <c r="H11" s="5"/>
      <c r="I11" s="16"/>
    </row>
    <row r="12" spans="1:9" x14ac:dyDescent="0.3">
      <c r="A12" s="12"/>
      <c r="B12" s="5"/>
      <c r="C12" s="5"/>
      <c r="D12" s="5"/>
      <c r="E12" s="5"/>
      <c r="F12" s="5"/>
      <c r="G12" s="5"/>
      <c r="H12" s="5"/>
      <c r="I12" s="16"/>
    </row>
    <row r="13" spans="1:9" x14ac:dyDescent="0.3">
      <c r="A13" s="12"/>
      <c r="B13" s="5"/>
      <c r="C13" s="5"/>
      <c r="D13" s="5"/>
      <c r="E13" s="5"/>
      <c r="F13" s="5"/>
      <c r="G13" s="5"/>
      <c r="H13" s="5"/>
      <c r="I13" s="16"/>
    </row>
    <row r="14" spans="1:9" x14ac:dyDescent="0.3">
      <c r="A14" s="12"/>
      <c r="B14" s="5"/>
      <c r="C14" s="10" t="s">
        <v>26</v>
      </c>
      <c r="D14" s="10"/>
      <c r="E14" s="5"/>
      <c r="F14" s="5"/>
      <c r="G14" s="5"/>
      <c r="H14" s="5"/>
      <c r="I14" s="16"/>
    </row>
    <row r="15" spans="1:9" x14ac:dyDescent="0.3">
      <c r="A15" s="12"/>
      <c r="B15" s="5"/>
      <c r="C15" s="18" t="s">
        <v>14</v>
      </c>
      <c r="D15" s="18" t="s">
        <v>15</v>
      </c>
      <c r="E15" s="5"/>
      <c r="F15" s="5"/>
      <c r="G15" s="5"/>
      <c r="H15" s="5"/>
      <c r="I15" s="16"/>
    </row>
    <row r="16" spans="1:9" x14ac:dyDescent="0.3">
      <c r="A16" s="12"/>
      <c r="B16" s="5"/>
      <c r="C16" s="17" t="s">
        <v>16</v>
      </c>
      <c r="D16" s="17" t="s">
        <v>17</v>
      </c>
      <c r="E16" s="5"/>
      <c r="F16" s="5"/>
      <c r="G16" s="5"/>
      <c r="H16" s="5"/>
      <c r="I16" s="16"/>
    </row>
    <row r="17" spans="1:9" x14ac:dyDescent="0.3">
      <c r="A17" s="12"/>
      <c r="B17" s="5"/>
      <c r="C17" s="17" t="s">
        <v>18</v>
      </c>
      <c r="D17" s="17" t="s">
        <v>19</v>
      </c>
      <c r="E17" s="5"/>
      <c r="F17" s="5"/>
      <c r="G17" s="5"/>
      <c r="H17" s="5"/>
      <c r="I17" s="16"/>
    </row>
    <row r="18" spans="1:9" x14ac:dyDescent="0.3">
      <c r="A18" s="12"/>
      <c r="B18" s="5"/>
      <c r="C18" s="17" t="s">
        <v>20</v>
      </c>
      <c r="D18" s="17" t="s">
        <v>21</v>
      </c>
      <c r="E18" s="5"/>
      <c r="F18" s="5"/>
      <c r="G18" s="5"/>
      <c r="H18" s="5"/>
      <c r="I18" s="16"/>
    </row>
    <row r="19" spans="1:9" x14ac:dyDescent="0.3">
      <c r="A19" s="12"/>
      <c r="B19" s="5"/>
      <c r="C19" s="17" t="s">
        <v>22</v>
      </c>
      <c r="D19" s="17" t="s">
        <v>23</v>
      </c>
      <c r="E19" s="5"/>
      <c r="F19" s="5"/>
      <c r="G19" s="5"/>
      <c r="H19" s="5"/>
      <c r="I19" s="16"/>
    </row>
    <row r="20" spans="1:9" x14ac:dyDescent="0.3">
      <c r="A20" s="12"/>
      <c r="B20" s="5"/>
      <c r="C20" s="17" t="s">
        <v>24</v>
      </c>
      <c r="D20" s="17" t="s">
        <v>25</v>
      </c>
      <c r="E20" s="5"/>
      <c r="F20" s="5"/>
      <c r="G20" s="5"/>
      <c r="H20" s="5"/>
      <c r="I20" s="16"/>
    </row>
    <row r="21" spans="1:9" ht="14.5" thickBot="1" x14ac:dyDescent="0.35">
      <c r="A21" s="7"/>
      <c r="B21" s="8"/>
      <c r="C21" s="8"/>
      <c r="D21" s="8"/>
      <c r="E21" s="8"/>
      <c r="F21" s="8"/>
      <c r="G21" s="8"/>
      <c r="H21" s="8"/>
      <c r="I21" s="9"/>
    </row>
  </sheetData>
  <mergeCells count="2">
    <mergeCell ref="B1:H1"/>
    <mergeCell ref="C14:D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2023-10-22T00:23:47Z</dcterms:created>
  <dcterms:modified xsi:type="dcterms:W3CDTF">2026-05-09T13:45:05Z</dcterms:modified>
</cp:coreProperties>
</file>