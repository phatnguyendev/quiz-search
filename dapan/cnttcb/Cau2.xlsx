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1" l="1"/>
  <c r="G5" i="1" l="1"/>
  <c r="G6" i="1"/>
  <c r="G7" i="1"/>
  <c r="G8" i="1"/>
  <c r="G9" i="1"/>
  <c r="G10" i="1"/>
  <c r="G4" i="1"/>
  <c r="F5" i="1"/>
  <c r="F6" i="1"/>
  <c r="F7" i="1"/>
  <c r="F8" i="1"/>
  <c r="F9" i="1"/>
  <c r="F4" i="1"/>
  <c r="E5" i="1"/>
  <c r="E6" i="1"/>
  <c r="E7" i="1"/>
  <c r="E8" i="1"/>
  <c r="E9" i="1"/>
  <c r="E10" i="1"/>
  <c r="E4" i="1"/>
  <c r="D5" i="1"/>
  <c r="D6" i="1"/>
  <c r="D7" i="1"/>
  <c r="D8" i="1"/>
  <c r="D9" i="1"/>
  <c r="D10" i="1"/>
  <c r="D4" i="1"/>
</calcChain>
</file>

<file path=xl/sharedStrings.xml><?xml version="1.0" encoding="utf-8"?>
<sst xmlns="http://schemas.openxmlformats.org/spreadsheetml/2006/main" count="41" uniqueCount="33">
  <si>
    <t>CÔNG TY XUẤT KHẨU Ô TÔ AZ</t>
  </si>
  <si>
    <t>TT</t>
  </si>
  <si>
    <t>Mã hàng</t>
  </si>
  <si>
    <t>Loại xe</t>
  </si>
  <si>
    <t>Nước lắp ráp</t>
  </si>
  <si>
    <t>Thuế</t>
  </si>
  <si>
    <t>Giá thành</t>
  </si>
  <si>
    <t>Giá xuất xưởng</t>
  </si>
  <si>
    <t>TOZAVN</t>
  </si>
  <si>
    <t>FOLAVN</t>
  </si>
  <si>
    <t>TOCONB</t>
  </si>
  <si>
    <t>MIJOVN</t>
  </si>
  <si>
    <t>TOCAVN</t>
  </si>
  <si>
    <t>FOLANB</t>
  </si>
  <si>
    <t>MIJONB</t>
  </si>
  <si>
    <t>ZACE</t>
  </si>
  <si>
    <t>LASER</t>
  </si>
  <si>
    <t>COROLLA</t>
  </si>
  <si>
    <t>JOLIE</t>
  </si>
  <si>
    <t>CAMRY</t>
  </si>
  <si>
    <t>Mã loại</t>
  </si>
  <si>
    <t>Đơn giá(USD)</t>
  </si>
  <si>
    <t>VN</t>
  </si>
  <si>
    <t>NB</t>
  </si>
  <si>
    <t>CO</t>
  </si>
  <si>
    <t>CA</t>
  </si>
  <si>
    <t>ZA</t>
  </si>
  <si>
    <t>LA</t>
  </si>
  <si>
    <t>ES</t>
  </si>
  <si>
    <t>JO</t>
  </si>
  <si>
    <t>PA</t>
  </si>
  <si>
    <t>ESCAPE</t>
  </si>
  <si>
    <t>PAJERO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</si>
</sst>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₫_-;\-* #,##0.00\ _₫_-;_-* &quot;-&quot;??\ _₫_-;_-@_-"/>
    <numFmt numFmtId="164" formatCode="_-[$$-409]* #,##0_ ;_-[$$-409]* \-#,##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0000"/>
      <name val="Times New Roman"/>
      <family val="1"/>
    </font>
    <font>
      <sz val="14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3" borderId="1" xfId="0" applyFont="1" applyFill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164" fontId="4" fillId="4" borderId="1" xfId="1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CC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="70" zoomScaleNormal="70" workbookViewId="0">
      <selection activeCell="F10" sqref="F10"/>
    </sheetView>
  </sheetViews>
  <sheetFormatPr defaultRowHeight="15" x14ac:dyDescent="0.25"/>
  <cols>
    <col min="1" max="1" width="9" customWidth="1"/>
    <col min="2" max="2" width="14.28515625" customWidth="1"/>
    <col min="3" max="3" width="12.42578125" customWidth="1"/>
    <col min="4" max="4" width="18.5703125" customWidth="1"/>
    <col min="5" max="5" width="19.42578125" customWidth="1"/>
    <col min="6" max="6" width="10" customWidth="1"/>
    <col min="7" max="7" width="21.7109375" customWidth="1"/>
    <col min="9" max="9" width="11.42578125" customWidth="1"/>
    <col min="10" max="10" width="13.85546875" customWidth="1"/>
    <col min="11" max="11" width="13.42578125" customWidth="1"/>
    <col min="12" max="12" width="13" customWidth="1"/>
  </cols>
  <sheetData>
    <row r="1" spans="1:12" ht="18.75" x14ac:dyDescent="0.3">
      <c r="A1" s="13" t="s">
        <v>0</v>
      </c>
      <c r="B1" s="13"/>
      <c r="C1" s="13"/>
      <c r="D1" s="13"/>
      <c r="E1" s="13"/>
      <c r="F1" s="13"/>
      <c r="G1" s="13"/>
    </row>
    <row r="2" spans="1:12" ht="18.75" x14ac:dyDescent="0.3">
      <c r="A2" s="1"/>
      <c r="B2" s="1"/>
      <c r="C2" s="1"/>
      <c r="D2" s="1"/>
      <c r="E2" s="1"/>
      <c r="F2" s="1"/>
      <c r="G2" s="1"/>
    </row>
    <row r="3" spans="1:12" ht="18.75" x14ac:dyDescent="0.3">
      <c r="A3" s="7" t="s">
        <v>1</v>
      </c>
      <c r="B3" s="8" t="s">
        <v>2</v>
      </c>
      <c r="C3" s="9" t="s">
        <v>3</v>
      </c>
      <c r="D3" s="9" t="s">
        <v>4</v>
      </c>
      <c r="E3" s="9" t="s">
        <v>7</v>
      </c>
      <c r="F3" s="9" t="s">
        <v>5</v>
      </c>
      <c r="G3" s="9" t="s">
        <v>6</v>
      </c>
      <c r="I3" s="14" t="s">
        <v>20</v>
      </c>
      <c r="J3" s="16" t="s">
        <v>3</v>
      </c>
      <c r="K3" s="17" t="s">
        <v>21</v>
      </c>
      <c r="L3" s="18"/>
    </row>
    <row r="4" spans="1:12" ht="18.75" x14ac:dyDescent="0.3">
      <c r="A4" s="4">
        <v>1</v>
      </c>
      <c r="B4" s="5" t="s">
        <v>8</v>
      </c>
      <c r="C4" s="10" t="s">
        <v>15</v>
      </c>
      <c r="D4" s="5" t="str">
        <f>IF(RIGHT(B4,2)="VN", "Việt Nam", "Nhật Bản")</f>
        <v>Việt Nam</v>
      </c>
      <c r="E4" s="6">
        <f>IF(RIGHT(B4,2)="VN",VLOOKUP(MID(B4,3,2),$I$3:$L$11,3,FALSE),VLOOKUP(MID(B4,3,2),$I$3:$L$11,4,FALSE))</f>
        <v>20000</v>
      </c>
      <c r="F4" s="6" t="str">
        <f>IF(RIGHT(B4,2)="VN","0",E4*10%)</f>
        <v>0</v>
      </c>
      <c r="G4" s="12">
        <f>E4+F4</f>
        <v>20000</v>
      </c>
      <c r="I4" s="15"/>
      <c r="J4" s="15"/>
      <c r="K4" s="9" t="s">
        <v>22</v>
      </c>
      <c r="L4" s="9" t="s">
        <v>23</v>
      </c>
    </row>
    <row r="5" spans="1:12" ht="18.75" x14ac:dyDescent="0.3">
      <c r="A5" s="4">
        <v>2</v>
      </c>
      <c r="B5" s="5" t="s">
        <v>9</v>
      </c>
      <c r="C5" s="10" t="s">
        <v>16</v>
      </c>
      <c r="D5" s="5" t="str">
        <f t="shared" ref="D5:D10" si="0">IF(RIGHT(B5,2)="VN", "Việt Nam", "Nhật Bản")</f>
        <v>Việt Nam</v>
      </c>
      <c r="E5" s="6">
        <f t="shared" ref="E5:E10" si="1">IF(RIGHT(B5,2)="VN",VLOOKUP(MID(B5,3,2),$I$3:$L$11,3,FALSE),VLOOKUP(MID(B5,3,2),$I$3:$L$11,4,FALSE))</f>
        <v>21500</v>
      </c>
      <c r="F5" s="6" t="str">
        <f t="shared" ref="F5:F10" si="2">IF(RIGHT(B5,2)="VN","0",E5*10%)</f>
        <v>0</v>
      </c>
      <c r="G5" s="12">
        <f t="shared" ref="G5:G10" si="3">E5+F5</f>
        <v>21500</v>
      </c>
      <c r="I5" s="11" t="s">
        <v>24</v>
      </c>
      <c r="J5" s="11" t="s">
        <v>17</v>
      </c>
      <c r="K5" s="11">
        <v>20500</v>
      </c>
      <c r="L5" s="11">
        <v>21500</v>
      </c>
    </row>
    <row r="6" spans="1:12" ht="18.75" x14ac:dyDescent="0.3">
      <c r="A6" s="4">
        <v>3</v>
      </c>
      <c r="B6" s="5" t="s">
        <v>10</v>
      </c>
      <c r="C6" s="10" t="s">
        <v>17</v>
      </c>
      <c r="D6" s="5" t="str">
        <f t="shared" si="0"/>
        <v>Nhật Bản</v>
      </c>
      <c r="E6" s="6">
        <f t="shared" si="1"/>
        <v>21500</v>
      </c>
      <c r="F6" s="6">
        <f t="shared" si="2"/>
        <v>2150</v>
      </c>
      <c r="G6" s="12">
        <f t="shared" si="3"/>
        <v>23650</v>
      </c>
      <c r="I6" s="11" t="s">
        <v>25</v>
      </c>
      <c r="J6" s="11" t="s">
        <v>19</v>
      </c>
      <c r="K6" s="11">
        <v>36300</v>
      </c>
      <c r="L6" s="11">
        <v>37000</v>
      </c>
    </row>
    <row r="7" spans="1:12" ht="18.75" x14ac:dyDescent="0.3">
      <c r="A7" s="4">
        <v>4</v>
      </c>
      <c r="B7" s="5" t="s">
        <v>11</v>
      </c>
      <c r="C7" s="10" t="s">
        <v>18</v>
      </c>
      <c r="D7" s="5" t="str">
        <f t="shared" si="0"/>
        <v>Việt Nam</v>
      </c>
      <c r="E7" s="6">
        <f t="shared" si="1"/>
        <v>20000</v>
      </c>
      <c r="F7" s="6" t="str">
        <f t="shared" si="2"/>
        <v>0</v>
      </c>
      <c r="G7" s="12">
        <f t="shared" si="3"/>
        <v>20000</v>
      </c>
      <c r="I7" s="11" t="s">
        <v>26</v>
      </c>
      <c r="J7" s="11" t="s">
        <v>15</v>
      </c>
      <c r="K7" s="11">
        <v>20000</v>
      </c>
      <c r="L7" s="11">
        <v>22000</v>
      </c>
    </row>
    <row r="8" spans="1:12" ht="18.75" x14ac:dyDescent="0.3">
      <c r="A8" s="4">
        <v>5</v>
      </c>
      <c r="B8" s="5" t="s">
        <v>12</v>
      </c>
      <c r="C8" s="10" t="s">
        <v>19</v>
      </c>
      <c r="D8" s="5" t="str">
        <f t="shared" si="0"/>
        <v>Việt Nam</v>
      </c>
      <c r="E8" s="6">
        <f t="shared" si="1"/>
        <v>36300</v>
      </c>
      <c r="F8" s="6" t="str">
        <f t="shared" si="2"/>
        <v>0</v>
      </c>
      <c r="G8" s="12">
        <f t="shared" si="3"/>
        <v>36300</v>
      </c>
      <c r="I8" s="11" t="s">
        <v>27</v>
      </c>
      <c r="J8" s="11" t="s">
        <v>16</v>
      </c>
      <c r="K8" s="11">
        <v>21500</v>
      </c>
      <c r="L8" s="11">
        <v>23000</v>
      </c>
    </row>
    <row r="9" spans="1:12" ht="18.75" x14ac:dyDescent="0.3">
      <c r="A9" s="4">
        <v>6</v>
      </c>
      <c r="B9" s="5" t="s">
        <v>13</v>
      </c>
      <c r="C9" s="10" t="s">
        <v>16</v>
      </c>
      <c r="D9" s="5" t="str">
        <f t="shared" si="0"/>
        <v>Nhật Bản</v>
      </c>
      <c r="E9" s="6">
        <f t="shared" si="1"/>
        <v>23000</v>
      </c>
      <c r="F9" s="6">
        <f t="shared" si="2"/>
        <v>2300</v>
      </c>
      <c r="G9" s="12">
        <f t="shared" si="3"/>
        <v>25300</v>
      </c>
      <c r="I9" s="11" t="s">
        <v>28</v>
      </c>
      <c r="J9" s="11" t="s">
        <v>31</v>
      </c>
      <c r="K9" s="11">
        <v>34000</v>
      </c>
      <c r="L9" s="11">
        <v>35000</v>
      </c>
    </row>
    <row r="10" spans="1:12" ht="18.75" x14ac:dyDescent="0.3">
      <c r="A10" s="4">
        <v>7</v>
      </c>
      <c r="B10" s="5" t="s">
        <v>14</v>
      </c>
      <c r="C10" s="10" t="s">
        <v>18</v>
      </c>
      <c r="D10" s="5" t="str">
        <f t="shared" si="0"/>
        <v>Nhật Bản</v>
      </c>
      <c r="E10" s="6">
        <f t="shared" si="1"/>
        <v>21000</v>
      </c>
      <c r="F10" s="6">
        <f>IF(RIGHT(B10,2)="VN","0",E10*10%)</f>
        <v>2100</v>
      </c>
      <c r="G10" s="12">
        <f t="shared" si="3"/>
        <v>23100</v>
      </c>
      <c r="I10" s="11" t="s">
        <v>29</v>
      </c>
      <c r="J10" s="11" t="s">
        <v>18</v>
      </c>
      <c r="K10" s="11">
        <v>20000</v>
      </c>
      <c r="L10" s="11">
        <v>21000</v>
      </c>
    </row>
    <row r="11" spans="1:12" ht="18.75" x14ac:dyDescent="0.3">
      <c r="A11" s="2"/>
      <c r="B11" s="2"/>
      <c r="C11" s="2"/>
      <c r="D11" s="2"/>
      <c r="E11" s="2"/>
      <c r="F11" s="2"/>
      <c r="G11" s="2"/>
      <c r="I11" s="11" t="s">
        <v>30</v>
      </c>
      <c r="J11" s="11" t="s">
        <v>32</v>
      </c>
      <c r="K11" s="11">
        <v>36000</v>
      </c>
      <c r="L11" s="11">
        <v>38000</v>
      </c>
    </row>
    <row r="12" spans="1:12" ht="18.75" x14ac:dyDescent="0.3">
      <c r="A12" s="2"/>
      <c r="B12" s="2"/>
      <c r="C12" s="2"/>
      <c r="D12" s="2"/>
      <c r="E12" s="2"/>
      <c r="F12" s="2"/>
      <c r="G12" s="2"/>
    </row>
    <row r="13" spans="1:12" ht="18.75" x14ac:dyDescent="0.3">
      <c r="A13" s="3"/>
      <c r="B13" s="3"/>
      <c r="C13" s="3"/>
      <c r="D13" s="3"/>
      <c r="E13" s="3"/>
      <c r="F13" s="3"/>
      <c r="G13" s="3"/>
    </row>
    <row r="14" spans="1:12" ht="18.75" x14ac:dyDescent="0.3">
      <c r="A14" s="1"/>
      <c r="B14" s="1"/>
      <c r="C14" s="1"/>
      <c r="D14" s="1"/>
      <c r="E14" s="1"/>
      <c r="F14" s="1"/>
      <c r="G14" s="1"/>
    </row>
    <row r="15" spans="1:12" ht="18.75" x14ac:dyDescent="0.3">
      <c r="A15" s="1"/>
      <c r="B15" s="1"/>
      <c r="C15" s="1"/>
      <c r="D15" s="1"/>
      <c r="E15" s="1"/>
      <c r="F15" s="1"/>
      <c r="G15" s="1"/>
    </row>
    <row r="16" spans="1:12" ht="18.75" x14ac:dyDescent="0.3">
      <c r="A16" s="1"/>
      <c r="B16" s="1"/>
      <c r="C16" s="1"/>
      <c r="D16" s="1"/>
      <c r="E16" s="1"/>
      <c r="F16" s="1"/>
      <c r="G16" s="1"/>
    </row>
    <row r="17" spans="1:7" ht="18.75" x14ac:dyDescent="0.3">
      <c r="A17" s="1"/>
      <c r="B17" s="1"/>
      <c r="C17" s="1"/>
      <c r="D17" s="1"/>
      <c r="E17" s="1"/>
      <c r="F17" s="1"/>
      <c r="G17" s="1"/>
    </row>
    <row r="18" spans="1:7" ht="18.75" x14ac:dyDescent="0.3">
      <c r="A18" s="1"/>
      <c r="B18" s="1"/>
      <c r="C18" s="1"/>
      <c r="D18" s="1"/>
      <c r="E18" s="1"/>
      <c r="F18" s="1"/>
      <c r="G18" s="1"/>
    </row>
  </sheetData>
  <mergeCells count="4">
    <mergeCell ref="A1:G1"/>
    <mergeCell ref="I3:I4"/>
    <mergeCell ref="J3:J4"/>
    <mergeCell ref="K3:L3"/>
  </mergeCells>
  <pageMargins left="0.7" right="0.7" top="0.75" bottom="0.75" header="0.3" footer="0.3"/>
  <pageSetup orientation="portrait" horizontalDpi="300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2025-08-11T02:19:05Z</dcterms:modified>
</cp:coreProperties>
</file>