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ownloads\New folder (5)\CB2602002\"/>
    </mc:Choice>
  </mc:AlternateContent>
  <bookViews>
    <workbookView xWindow="0" yWindow="0" windowWidth="16220" windowHeight="119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4" i="1"/>
  <c r="F4" i="1"/>
  <c r="F5" i="1"/>
  <c r="F6" i="1"/>
  <c r="F7" i="1"/>
  <c r="F8" i="1"/>
  <c r="F9" i="1"/>
  <c r="F10" i="1"/>
  <c r="F11" i="1"/>
  <c r="D5" i="1"/>
  <c r="D6" i="1"/>
  <c r="D7" i="1"/>
  <c r="D8" i="1"/>
  <c r="D9" i="1"/>
  <c r="D10" i="1"/>
  <c r="D11" i="1"/>
  <c r="D4" i="1"/>
</calcChain>
</file>

<file path=xl/sharedStrings.xml><?xml version="1.0" encoding="utf-8"?>
<sst xmlns="http://schemas.openxmlformats.org/spreadsheetml/2006/main" count="36" uniqueCount="34">
  <si>
    <t>BẢNG LƯƠNG THÁNG 8 NĂM 2024</t>
  </si>
  <si>
    <t>TT</t>
  </si>
  <si>
    <t>MÃ GV</t>
  </si>
  <si>
    <t>HỌ VÀ TÊN</t>
  </si>
  <si>
    <t>CHỨC VỤ</t>
  </si>
  <si>
    <t>HỆ SỐ LƯƠNG</t>
  </si>
  <si>
    <t xml:space="preserve">PHỤ CẤP </t>
  </si>
  <si>
    <t>TIỀN LƯƠNG</t>
  </si>
  <si>
    <t>HT01</t>
  </si>
  <si>
    <t>CN01</t>
  </si>
  <si>
    <t>GV01</t>
  </si>
  <si>
    <t>PH01</t>
  </si>
  <si>
    <t>CN02</t>
  </si>
  <si>
    <t>GV02</t>
  </si>
  <si>
    <t>GV03</t>
  </si>
  <si>
    <t>CN03</t>
  </si>
  <si>
    <t>Lê Hải Tuấn</t>
  </si>
  <si>
    <t>Trần Quang Long</t>
  </si>
  <si>
    <t>Nguyễn Văn Nam</t>
  </si>
  <si>
    <t>Lê Thành Lương</t>
  </si>
  <si>
    <t>Trần Hoàng Thái</t>
  </si>
  <si>
    <t>Lý Thị Loan</t>
  </si>
  <si>
    <t>Trần Thị Cơ</t>
  </si>
  <si>
    <t>Lê Văn Bình</t>
  </si>
  <si>
    <t>BẢNG CHỨC VỤ</t>
  </si>
  <si>
    <t>Hiệu trưởng</t>
  </si>
  <si>
    <t>Phó hiệu trưởng</t>
  </si>
  <si>
    <t>Chủ nhiệm bộ môn</t>
  </si>
  <si>
    <t>Giáo viên</t>
  </si>
  <si>
    <t>GV</t>
  </si>
  <si>
    <t>CN</t>
  </si>
  <si>
    <t>PH</t>
  </si>
  <si>
    <t>HT</t>
  </si>
  <si>
    <t>Lương cơ bản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</si>
</sst>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_-;\-* #,##0_-;_-* &quot;-&quot;_-;_-@_-"/>
    <numFmt numFmtId="165" formatCode="_-* #,##0.0_-;\-* #,##0.0_-;_-* &quot;-&quot;_-;_-@_-"/>
    <numFmt numFmtId="166" formatCode="#,##0\ &quot;VNĐ&quot;"/>
  </numFmts>
  <fonts count="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4"/>
      <color theme="1"/>
      <name val="Times New Roman"/>
      <family val="1"/>
    </font>
    <font>
      <b/>
      <sz val="14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4"/>
      <color theme="9" tint="-0.249977111117893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2" fillId="0" borderId="0" xfId="0" applyFont="1" applyAlignment="1"/>
    <xf numFmtId="0" fontId="3" fillId="0" borderId="0" xfId="0" applyFont="1"/>
    <xf numFmtId="3" fontId="3" fillId="0" borderId="0" xfId="0" applyNumberFormat="1" applyFont="1" applyAlignment="1"/>
    <xf numFmtId="0" fontId="4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65" fontId="2" fillId="0" borderId="3" xfId="1" applyNumberFormat="1" applyFont="1" applyBorder="1" applyAlignment="1">
      <alignment horizontal="right"/>
    </xf>
    <xf numFmtId="3" fontId="2" fillId="0" borderId="3" xfId="0" applyNumberFormat="1" applyFont="1" applyBorder="1"/>
    <xf numFmtId="166" fontId="2" fillId="0" borderId="3" xfId="0" applyNumberFormat="1" applyFont="1" applyBorder="1"/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165" fontId="2" fillId="0" borderId="4" xfId="1" applyNumberFormat="1" applyFont="1" applyBorder="1" applyAlignment="1">
      <alignment horizontal="right"/>
    </xf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5" xfId="0" applyFont="1" applyBorder="1" applyAlignment="1">
      <alignment horizontal="center"/>
    </xf>
    <xf numFmtId="0" fontId="2" fillId="0" borderId="5" xfId="0" applyFont="1" applyBorder="1"/>
    <xf numFmtId="165" fontId="2" fillId="0" borderId="5" xfId="1" applyNumberFormat="1" applyFont="1" applyBorder="1" applyAlignment="1">
      <alignment horizontal="right"/>
    </xf>
    <xf numFmtId="3" fontId="2" fillId="0" borderId="5" xfId="0" applyNumberFormat="1" applyFont="1" applyBorder="1"/>
    <xf numFmtId="166" fontId="2" fillId="0" borderId="5" xfId="0" applyNumberFormat="1" applyFont="1" applyBorder="1"/>
    <xf numFmtId="0" fontId="5" fillId="0" borderId="0" xfId="0" applyFont="1" applyAlignment="1">
      <alignment horizontal="center" wrapText="1"/>
    </xf>
    <xf numFmtId="0" fontId="5" fillId="0" borderId="2" xfId="0" applyFont="1" applyBorder="1" applyAlignment="1">
      <alignment horizont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topLeftCell="A4" workbookViewId="0">
      <selection activeCell="E14" sqref="E14"/>
    </sheetView>
  </sheetViews>
  <sheetFormatPr defaultColWidth="9.1796875" defaultRowHeight="18" x14ac:dyDescent="0.4"/>
  <cols>
    <col min="1" max="1" width="5.7265625" style="1" customWidth="1"/>
    <col min="2" max="2" width="13.7265625" style="1" customWidth="1"/>
    <col min="3" max="3" width="23.26953125" style="1" customWidth="1"/>
    <col min="4" max="4" width="23.1796875" style="1" customWidth="1"/>
    <col min="5" max="5" width="20.7265625" style="1" customWidth="1"/>
    <col min="6" max="6" width="15.54296875" style="1" customWidth="1"/>
    <col min="7" max="7" width="19.1796875" style="1" customWidth="1"/>
    <col min="8" max="16384" width="9.1796875" style="1"/>
  </cols>
  <sheetData>
    <row r="1" spans="1:7" x14ac:dyDescent="0.4">
      <c r="A1" s="21" t="s">
        <v>0</v>
      </c>
      <c r="B1" s="21"/>
      <c r="C1" s="21"/>
      <c r="D1" s="21"/>
      <c r="E1" s="21"/>
      <c r="F1" s="21"/>
      <c r="G1" s="21"/>
    </row>
    <row r="2" spans="1:7" x14ac:dyDescent="0.4">
      <c r="A2" s="2"/>
      <c r="C2" s="2"/>
      <c r="D2" s="3" t="s">
        <v>33</v>
      </c>
      <c r="E2" s="4">
        <v>2340000</v>
      </c>
      <c r="F2" s="2"/>
      <c r="G2" s="2"/>
    </row>
    <row r="3" spans="1:7" ht="38" customHeight="1" x14ac:dyDescent="0.4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</row>
    <row r="4" spans="1:7" x14ac:dyDescent="0.4">
      <c r="A4" s="6">
        <v>1</v>
      </c>
      <c r="B4" s="7" t="s">
        <v>8</v>
      </c>
      <c r="C4" s="7" t="s">
        <v>23</v>
      </c>
      <c r="D4" s="7" t="str">
        <f>VLOOKUP(LEFT(B4,2),$B$14:$C$18,2,0)</f>
        <v>Hiệu trưởng</v>
      </c>
      <c r="E4" s="8">
        <v>8</v>
      </c>
      <c r="F4" s="9">
        <f>IF(LEFT(B4,2)="HT",1000000,IF(LEFT(B4,2)="PH",800000,IF(LEFT(B4,2)="CN",500000,300000)))</f>
        <v>1000000</v>
      </c>
      <c r="G4" s="10">
        <f>$E$2*E4+F4</f>
        <v>19720000</v>
      </c>
    </row>
    <row r="5" spans="1:7" x14ac:dyDescent="0.4">
      <c r="A5" s="11">
        <v>2</v>
      </c>
      <c r="B5" s="12" t="s">
        <v>9</v>
      </c>
      <c r="C5" s="12" t="s">
        <v>22</v>
      </c>
      <c r="D5" s="12" t="str">
        <f t="shared" ref="D5:D11" si="0">VLOOKUP(LEFT(B5,2),$B$14:$C$18,2,0)</f>
        <v>Chủ nhiệm bộ môn</v>
      </c>
      <c r="E5" s="13">
        <v>6.2</v>
      </c>
      <c r="F5" s="14">
        <f t="shared" ref="F5:F11" si="1">IF(LEFT(B5,2)="HT",1000000,IF(LEFT(B5,2)="PH",800000,IF(LEFT(B5,2)="CN",500000,300000)))</f>
        <v>500000</v>
      </c>
      <c r="G5" s="15">
        <f t="shared" ref="G5:G11" si="2">$E$2*E5+F5</f>
        <v>15008000</v>
      </c>
    </row>
    <row r="6" spans="1:7" x14ac:dyDescent="0.4">
      <c r="A6" s="11">
        <v>3</v>
      </c>
      <c r="B6" s="12" t="s">
        <v>10</v>
      </c>
      <c r="C6" s="12" t="s">
        <v>21</v>
      </c>
      <c r="D6" s="12" t="str">
        <f t="shared" si="0"/>
        <v>Giáo viên</v>
      </c>
      <c r="E6" s="13">
        <v>5.8</v>
      </c>
      <c r="F6" s="14">
        <f t="shared" si="1"/>
        <v>300000</v>
      </c>
      <c r="G6" s="15">
        <f t="shared" si="2"/>
        <v>13872000</v>
      </c>
    </row>
    <row r="7" spans="1:7" x14ac:dyDescent="0.4">
      <c r="A7" s="11">
        <v>4</v>
      </c>
      <c r="B7" s="12" t="s">
        <v>11</v>
      </c>
      <c r="C7" s="12" t="s">
        <v>20</v>
      </c>
      <c r="D7" s="12" t="str">
        <f t="shared" si="0"/>
        <v>Phó hiệu trưởng</v>
      </c>
      <c r="E7" s="13">
        <v>7.6</v>
      </c>
      <c r="F7" s="14">
        <f t="shared" si="1"/>
        <v>800000</v>
      </c>
      <c r="G7" s="15">
        <f t="shared" si="2"/>
        <v>18584000</v>
      </c>
    </row>
    <row r="8" spans="1:7" x14ac:dyDescent="0.4">
      <c r="A8" s="11">
        <v>5</v>
      </c>
      <c r="B8" s="12" t="s">
        <v>12</v>
      </c>
      <c r="C8" s="12" t="s">
        <v>19</v>
      </c>
      <c r="D8" s="12" t="str">
        <f t="shared" si="0"/>
        <v>Chủ nhiệm bộ môn</v>
      </c>
      <c r="E8" s="13">
        <v>7</v>
      </c>
      <c r="F8" s="14">
        <f t="shared" si="1"/>
        <v>500000</v>
      </c>
      <c r="G8" s="15">
        <f t="shared" si="2"/>
        <v>16880000</v>
      </c>
    </row>
    <row r="9" spans="1:7" x14ac:dyDescent="0.4">
      <c r="A9" s="11">
        <v>6</v>
      </c>
      <c r="B9" s="12" t="s">
        <v>13</v>
      </c>
      <c r="C9" s="12" t="s">
        <v>18</v>
      </c>
      <c r="D9" s="12" t="str">
        <f t="shared" si="0"/>
        <v>Giáo viên</v>
      </c>
      <c r="E9" s="13">
        <v>6</v>
      </c>
      <c r="F9" s="14">
        <f t="shared" si="1"/>
        <v>300000</v>
      </c>
      <c r="G9" s="15">
        <f t="shared" si="2"/>
        <v>14340000</v>
      </c>
    </row>
    <row r="10" spans="1:7" x14ac:dyDescent="0.4">
      <c r="A10" s="11">
        <v>7</v>
      </c>
      <c r="B10" s="12" t="s">
        <v>14</v>
      </c>
      <c r="C10" s="12" t="s">
        <v>17</v>
      </c>
      <c r="D10" s="12" t="str">
        <f t="shared" si="0"/>
        <v>Giáo viên</v>
      </c>
      <c r="E10" s="13">
        <v>6</v>
      </c>
      <c r="F10" s="14">
        <f t="shared" si="1"/>
        <v>300000</v>
      </c>
      <c r="G10" s="15">
        <f t="shared" si="2"/>
        <v>14340000</v>
      </c>
    </row>
    <row r="11" spans="1:7" x14ac:dyDescent="0.4">
      <c r="A11" s="16">
        <v>8</v>
      </c>
      <c r="B11" s="17" t="s">
        <v>15</v>
      </c>
      <c r="C11" s="17" t="s">
        <v>16</v>
      </c>
      <c r="D11" s="17" t="str">
        <f t="shared" si="0"/>
        <v>Chủ nhiệm bộ môn</v>
      </c>
      <c r="E11" s="18">
        <v>6.4</v>
      </c>
      <c r="F11" s="19">
        <f t="shared" si="1"/>
        <v>500000</v>
      </c>
      <c r="G11" s="20">
        <f t="shared" si="2"/>
        <v>15476000</v>
      </c>
    </row>
    <row r="13" spans="1:7" x14ac:dyDescent="0.4">
      <c r="B13" s="22" t="s">
        <v>24</v>
      </c>
      <c r="C13" s="22"/>
    </row>
    <row r="14" spans="1:7" ht="25" customHeight="1" x14ac:dyDescent="0.4">
      <c r="B14" s="5" t="s">
        <v>2</v>
      </c>
      <c r="C14" s="5" t="s">
        <v>4</v>
      </c>
    </row>
    <row r="15" spans="1:7" x14ac:dyDescent="0.4">
      <c r="B15" s="7" t="s">
        <v>32</v>
      </c>
      <c r="C15" s="7" t="s">
        <v>25</v>
      </c>
    </row>
    <row r="16" spans="1:7" x14ac:dyDescent="0.4">
      <c r="B16" s="12" t="s">
        <v>31</v>
      </c>
      <c r="C16" s="12" t="s">
        <v>26</v>
      </c>
    </row>
    <row r="17" spans="2:3" x14ac:dyDescent="0.4">
      <c r="B17" s="12" t="s">
        <v>30</v>
      </c>
      <c r="C17" s="12" t="s">
        <v>27</v>
      </c>
    </row>
    <row r="18" spans="2:3" x14ac:dyDescent="0.4">
      <c r="B18" s="17" t="s">
        <v>29</v>
      </c>
      <c r="C18" s="17" t="s">
        <v>28</v>
      </c>
    </row>
  </sheetData>
  <mergeCells count="2">
    <mergeCell ref="A1:G1"/>
    <mergeCell ref="B13:C1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PC</cp:lastModifiedBy>
  <dcterms:created xsi:type="dcterms:W3CDTF">2026-02-01T02:05:31Z</dcterms:created>
  <dcterms:modified xsi:type="dcterms:W3CDTF">2026-04-18T13:18:53Z</dcterms:modified>
</cp:coreProperties>
</file>